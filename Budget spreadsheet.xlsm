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526" codeName="{00000000-0000-0000-0000-000000000000}"/>
  <workbookPr showInkAnnotation="0" codeName="ThisWorkbook" autoCompressPictures="0"/>
  <bookViews>
    <workbookView xWindow="940" yWindow="160" windowWidth="25600" windowHeight="14380" tabRatio="500"/>
  </bookViews>
  <sheets>
    <sheet name="Personal Finance" sheetId="1" r:id="rId1"/>
  </sheets>
  <externalReferences>
    <externalReference r:id="rId2"/>
  </externalReferences>
  <definedNames>
    <definedName name="amount_cell">'Personal Finance'!$F$21</definedName>
    <definedName name="amount_column">'Personal Finance'!$H$48:$H$51</definedName>
    <definedName name="bank_account">'Personal Finance'!$G$17</definedName>
    <definedName name="car_allowance">'Personal Finance'!$J$25</definedName>
    <definedName name="car_percent">'Personal Finance'!$J$24</definedName>
    <definedName name="cash_amount">'Personal Finance'!$H$17</definedName>
    <definedName name="category_column">'Personal Finance'!$F$48:$F$51</definedName>
    <definedName name="category_entry">'Personal Finance'!$F$41</definedName>
    <definedName name="credit_column">'Personal Finance'!$J$48:$J$51</definedName>
    <definedName name="credit_entry">'Personal Finance'!$J$41</definedName>
    <definedName name="date_column">'Personal Finance'!$E$48:$E$51</definedName>
    <definedName name="day_column">'Personal Finance'!$D$48:$D$51</definedName>
    <definedName name="debit_column">'Personal Finance'!$I$48:$I$51</definedName>
    <definedName name="debit_entry">'Personal Finance'!$I$41</definedName>
    <definedName name="donations_allowance">'Personal Finance'!$G$25</definedName>
    <definedName name="donations_percent">'Personal Finance'!$G$24</definedName>
    <definedName name="entry_row">'Personal Finance'!$E$41:$K$41</definedName>
    <definedName name="expense_matrix">'Personal Finance'!$A$48:$K$51</definedName>
    <definedName name="food_allowance">'Personal Finance'!$D$25</definedName>
    <definedName name="food_percent">'Personal Finance'!$D$24</definedName>
    <definedName name="from_cell">'Personal Finance'!$D$21</definedName>
    <definedName name="gas_allowance">'Personal Finance'!$E$25</definedName>
    <definedName name="gas_percent">'Personal Finance'!$E$24</definedName>
    <definedName name="gift_card_amount">'Personal Finance'!$I$17</definedName>
    <definedName name="item_column">'Personal Finance'!$G$48:$G$51</definedName>
    <definedName name="leisure_allowance">'Personal Finance'!$H$25</definedName>
    <definedName name="leisure_percent">'Personal Finance'!$H$24</definedName>
    <definedName name="month_column">'Personal Finance'!$B$48:$B$51</definedName>
    <definedName name="other_allowance">'Personal Finance'!$I$25</definedName>
    <definedName name="other_percent">'Personal Finance'!$I$24</definedName>
    <definedName name="payment_type">'Personal Finance'!$K$41</definedName>
    <definedName name="payment_type_column">'Personal Finance'!$K$48:$K$51</definedName>
    <definedName name="rent_allowance">'Personal Finance'!$F$25</definedName>
    <definedName name="rent_percent">'Personal Finance'!$F$24</definedName>
    <definedName name="savings_allowance">'Personal Finance'!$K$25</definedName>
    <definedName name="savings_percent">'Personal Finance'!$K$24</definedName>
    <definedName name="test">Personal [1]Finance!A44:K44</definedName>
    <definedName name="test2">'Personal Finance'!$G$68</definedName>
    <definedName name="test3">'Personal Finance'!$M$4:$O$10</definedName>
    <definedName name="thismonth">'Personal Finance'!$C$32</definedName>
    <definedName name="thisweek">'Personal Finance'!$C$27</definedName>
    <definedName name="thisyear">'Personal Finance'!$C$37</definedName>
    <definedName name="to_cell">'Personal Finance'!$E$21</definedName>
    <definedName name="week_column">'Personal Finance'!$C$48:$C$51</definedName>
    <definedName name="year_column">'Personal Finance'!$A$48:$A$51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1" i="1" l="1"/>
  <c r="C34" i="1"/>
  <c r="C32" i="1"/>
  <c r="C37" i="1"/>
  <c r="D33" i="1"/>
  <c r="C27" i="1"/>
  <c r="E28" i="1"/>
  <c r="J33" i="1"/>
  <c r="I33" i="1"/>
  <c r="H33" i="1"/>
  <c r="G33" i="1"/>
  <c r="F33" i="1"/>
  <c r="E33" i="1"/>
  <c r="J28" i="1"/>
  <c r="I28" i="1"/>
  <c r="H28" i="1"/>
  <c r="G28" i="1"/>
  <c r="F28" i="1"/>
  <c r="D28" i="1"/>
  <c r="E34" i="1"/>
  <c r="I34" i="1"/>
  <c r="F34" i="1"/>
  <c r="D34" i="1"/>
  <c r="J34" i="1"/>
  <c r="J35" i="1"/>
  <c r="J29" i="1"/>
  <c r="J30" i="1"/>
  <c r="I29" i="1"/>
  <c r="K28" i="1"/>
  <c r="K33" i="1"/>
  <c r="J17" i="1"/>
  <c r="L25" i="1"/>
  <c r="E35" i="1"/>
  <c r="F35" i="1"/>
  <c r="G34" i="1"/>
  <c r="G35" i="1"/>
  <c r="H34" i="1"/>
  <c r="H35" i="1"/>
  <c r="I35" i="1"/>
  <c r="K34" i="1"/>
  <c r="D35" i="1"/>
  <c r="E29" i="1"/>
  <c r="E30" i="1"/>
  <c r="F29" i="1"/>
  <c r="F30" i="1"/>
  <c r="G29" i="1"/>
  <c r="G30" i="1"/>
  <c r="H29" i="1"/>
  <c r="H30" i="1"/>
  <c r="I30" i="1"/>
  <c r="K29" i="1"/>
  <c r="D29" i="1"/>
  <c r="D30" i="1"/>
  <c r="L24" i="1"/>
  <c r="I46" i="1"/>
  <c r="J46" i="1"/>
</calcChain>
</file>

<file path=xl/sharedStrings.xml><?xml version="1.0" encoding="utf-8"?>
<sst xmlns="http://schemas.openxmlformats.org/spreadsheetml/2006/main" count="105" uniqueCount="54">
  <si>
    <t>Category</t>
  </si>
  <si>
    <t>Date</t>
  </si>
  <si>
    <t>Credit</t>
  </si>
  <si>
    <t>Debit</t>
  </si>
  <si>
    <t>Food</t>
  </si>
  <si>
    <t>Item</t>
  </si>
  <si>
    <t>Amount</t>
  </si>
  <si>
    <t>Gas</t>
  </si>
  <si>
    <t>Cash</t>
  </si>
  <si>
    <t>Categories</t>
  </si>
  <si>
    <t>Check</t>
  </si>
  <si>
    <t>Payment Type</t>
  </si>
  <si>
    <t>Item details</t>
  </si>
  <si>
    <t>Entry Row</t>
  </si>
  <si>
    <t>Donations</t>
  </si>
  <si>
    <t>Income</t>
  </si>
  <si>
    <t>Tax</t>
  </si>
  <si>
    <t>Money exchange</t>
  </si>
  <si>
    <t>Debit Card (Bank Balance)</t>
  </si>
  <si>
    <t xml:space="preserve"> </t>
  </si>
  <si>
    <t>Total</t>
  </si>
  <si>
    <t>Month</t>
  </si>
  <si>
    <t>Year</t>
  </si>
  <si>
    <t>Rent</t>
  </si>
  <si>
    <t>Leisure</t>
  </si>
  <si>
    <t>Savings</t>
  </si>
  <si>
    <t>Other Exp</t>
  </si>
  <si>
    <t>Week #</t>
  </si>
  <si>
    <t>Day</t>
  </si>
  <si>
    <t>Spent</t>
  </si>
  <si>
    <t>Budgeted</t>
  </si>
  <si>
    <t>Percentage</t>
  </si>
  <si>
    <t>Other Expenses</t>
  </si>
  <si>
    <t>Allowances</t>
  </si>
  <si>
    <t>This Month</t>
  </si>
  <si>
    <t>This Week</t>
  </si>
  <si>
    <t>Gift Card</t>
  </si>
  <si>
    <t>Gift Cards</t>
  </si>
  <si>
    <t>Bank ( debit and credit)</t>
  </si>
  <si>
    <t>Tuesday</t>
  </si>
  <si>
    <t>Sum</t>
  </si>
  <si>
    <t>To</t>
  </si>
  <si>
    <t>From</t>
  </si>
  <si>
    <t xml:space="preserve">  </t>
  </si>
  <si>
    <t>Car Insurance</t>
  </si>
  <si>
    <t>This Year</t>
  </si>
  <si>
    <t>Totals:</t>
  </si>
  <si>
    <t xml:space="preserve">Monthly Rent </t>
  </si>
  <si>
    <t>Weekly paycheck</t>
  </si>
  <si>
    <t>Records</t>
  </si>
  <si>
    <t>Total:</t>
  </si>
  <si>
    <t>Chair</t>
  </si>
  <si>
    <t>Apples</t>
  </si>
  <si>
    <t>Credit Card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</si>
</sst>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&quot;$&quot;#,##0.00;\-&quot;$&quot;#,##0.00"/>
    <numFmt numFmtId="165" formatCode="_-&quot;$&quot;* #,##0.00_-;\-&quot;$&quot;* #,##0.00_-;_-&quot;$&quot;* &quot;-&quot;??_-;_-@_-"/>
    <numFmt numFmtId="166" formatCode="[$-409]d\-mmm;@"/>
    <numFmt numFmtId="168" formatCode="&quot;$&quot;#,##0.00"/>
  </numFmts>
  <fonts count="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Lucida Grande"/>
    </font>
    <font>
      <sz val="12"/>
      <color rgb="FF000000"/>
      <name val="Calibri"/>
      <family val="2"/>
      <scheme val="minor"/>
    </font>
    <font>
      <b/>
      <sz val="12"/>
      <color rgb="FF000000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BF1DE"/>
        <bgColor rgb="FF000000"/>
      </patternFill>
    </fill>
    <fill>
      <patternFill patternType="solid">
        <fgColor theme="6" tint="0.39997558519241921"/>
        <bgColor rgb="FF000000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481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166" fontId="0" fillId="3" borderId="1" xfId="0" applyNumberFormat="1" applyFill="1" applyBorder="1"/>
    <xf numFmtId="0" fontId="0" fillId="3" borderId="1" xfId="0" applyFill="1" applyBorder="1"/>
    <xf numFmtId="0" fontId="4" fillId="2" borderId="1" xfId="0" applyFont="1" applyFill="1" applyBorder="1"/>
    <xf numFmtId="14" fontId="4" fillId="2" borderId="1" xfId="0" applyNumberFormat="1" applyFont="1" applyFill="1" applyBorder="1"/>
    <xf numFmtId="0" fontId="0" fillId="0" borderId="0" xfId="0" applyBorder="1"/>
    <xf numFmtId="165" fontId="0" fillId="3" borderId="1" xfId="0" applyNumberFormat="1" applyFill="1" applyBorder="1"/>
    <xf numFmtId="0" fontId="0" fillId="2" borderId="1" xfId="0" applyFill="1" applyBorder="1"/>
    <xf numFmtId="165" fontId="0" fillId="2" borderId="1" xfId="0" applyNumberFormat="1" applyFill="1" applyBorder="1"/>
    <xf numFmtId="9" fontId="0" fillId="2" borderId="1" xfId="337" applyFont="1" applyFill="1" applyBorder="1"/>
    <xf numFmtId="165" fontId="4" fillId="2" borderId="1" xfId="0" applyNumberFormat="1" applyFont="1" applyFill="1" applyBorder="1"/>
    <xf numFmtId="165" fontId="7" fillId="5" borderId="1" xfId="0" applyNumberFormat="1" applyFont="1" applyFill="1" applyBorder="1"/>
    <xf numFmtId="164" fontId="0" fillId="3" borderId="2" xfId="0" applyNumberFormat="1" applyFill="1" applyBorder="1"/>
    <xf numFmtId="165" fontId="4" fillId="2" borderId="3" xfId="0" applyNumberFormat="1" applyFont="1" applyFill="1" applyBorder="1"/>
    <xf numFmtId="165" fontId="6" fillId="4" borderId="1" xfId="0" applyNumberFormat="1" applyFont="1" applyFill="1" applyBorder="1"/>
    <xf numFmtId="164" fontId="0" fillId="3" borderId="1" xfId="0" applyNumberFormat="1" applyFill="1" applyBorder="1"/>
    <xf numFmtId="165" fontId="0" fillId="0" borderId="0" xfId="0" applyNumberFormat="1"/>
    <xf numFmtId="0" fontId="4" fillId="2" borderId="3" xfId="0" applyFont="1" applyFill="1" applyBorder="1"/>
    <xf numFmtId="164" fontId="0" fillId="3" borderId="5" xfId="0" applyNumberFormat="1" applyFill="1" applyBorder="1"/>
    <xf numFmtId="0" fontId="4" fillId="2" borderId="2" xfId="0" applyFont="1" applyFill="1" applyBorder="1"/>
    <xf numFmtId="165" fontId="0" fillId="3" borderId="2" xfId="0" applyNumberFormat="1" applyFill="1" applyBorder="1"/>
    <xf numFmtId="165" fontId="0" fillId="2" borderId="2" xfId="0" applyNumberFormat="1" applyFill="1" applyBorder="1"/>
    <xf numFmtId="9" fontId="0" fillId="2" borderId="2" xfId="337" applyFont="1" applyFill="1" applyBorder="1"/>
    <xf numFmtId="165" fontId="0" fillId="3" borderId="3" xfId="0" applyNumberFormat="1" applyFill="1" applyBorder="1"/>
    <xf numFmtId="165" fontId="0" fillId="2" borderId="3" xfId="0" applyNumberFormat="1" applyFill="1" applyBorder="1"/>
    <xf numFmtId="168" fontId="0" fillId="0" borderId="0" xfId="0" applyNumberFormat="1"/>
    <xf numFmtId="9" fontId="6" fillId="2" borderId="1" xfId="337" applyFont="1" applyFill="1" applyBorder="1"/>
    <xf numFmtId="9" fontId="0" fillId="2" borderId="4" xfId="337" applyFont="1" applyFill="1" applyBorder="1"/>
  </cellXfs>
  <cellStyles count="481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Followed Hyperlink" xfId="3655" builtinId="9" hidden="1"/>
    <cellStyle name="Followed Hyperlink" xfId="3657" builtinId="9" hidden="1"/>
    <cellStyle name="Followed Hyperlink" xfId="3659" builtinId="9" hidden="1"/>
    <cellStyle name="Followed Hyperlink" xfId="3661" builtinId="9" hidden="1"/>
    <cellStyle name="Followed Hyperlink" xfId="3663" builtinId="9" hidden="1"/>
    <cellStyle name="Followed Hyperlink" xfId="3665" builtinId="9" hidden="1"/>
    <cellStyle name="Followed Hyperlink" xfId="3667" builtinId="9" hidden="1"/>
    <cellStyle name="Followed Hyperlink" xfId="3669" builtinId="9" hidden="1"/>
    <cellStyle name="Followed Hyperlink" xfId="3671" builtinId="9" hidden="1"/>
    <cellStyle name="Followed Hyperlink" xfId="3673" builtinId="9" hidden="1"/>
    <cellStyle name="Followed Hyperlink" xfId="3675" builtinId="9" hidden="1"/>
    <cellStyle name="Followed Hyperlink" xfId="3677" builtinId="9" hidden="1"/>
    <cellStyle name="Followed Hyperlink" xfId="3679" builtinId="9" hidden="1"/>
    <cellStyle name="Followed Hyperlink" xfId="3681" builtinId="9" hidden="1"/>
    <cellStyle name="Followed Hyperlink" xfId="3683" builtinId="9" hidden="1"/>
    <cellStyle name="Followed Hyperlink" xfId="3685" builtinId="9" hidden="1"/>
    <cellStyle name="Followed Hyperlink" xfId="3687" builtinId="9" hidden="1"/>
    <cellStyle name="Followed Hyperlink" xfId="3689" builtinId="9" hidden="1"/>
    <cellStyle name="Followed Hyperlink" xfId="3691" builtinId="9" hidden="1"/>
    <cellStyle name="Followed Hyperlink" xfId="3693" builtinId="9" hidden="1"/>
    <cellStyle name="Followed Hyperlink" xfId="3695" builtinId="9" hidden="1"/>
    <cellStyle name="Followed Hyperlink" xfId="3697" builtinId="9" hidden="1"/>
    <cellStyle name="Followed Hyperlink" xfId="3699" builtinId="9" hidden="1"/>
    <cellStyle name="Followed Hyperlink" xfId="3701" builtinId="9" hidden="1"/>
    <cellStyle name="Followed Hyperlink" xfId="3703" builtinId="9" hidden="1"/>
    <cellStyle name="Followed Hyperlink" xfId="3705" builtinId="9" hidden="1"/>
    <cellStyle name="Followed Hyperlink" xfId="3707" builtinId="9" hidden="1"/>
    <cellStyle name="Followed Hyperlink" xfId="3709" builtinId="9" hidden="1"/>
    <cellStyle name="Followed Hyperlink" xfId="3711" builtinId="9" hidden="1"/>
    <cellStyle name="Followed Hyperlink" xfId="3713" builtinId="9" hidden="1"/>
    <cellStyle name="Followed Hyperlink" xfId="3715" builtinId="9" hidden="1"/>
    <cellStyle name="Followed Hyperlink" xfId="3717" builtinId="9" hidden="1"/>
    <cellStyle name="Followed Hyperlink" xfId="3719" builtinId="9" hidden="1"/>
    <cellStyle name="Followed Hyperlink" xfId="3721" builtinId="9" hidden="1"/>
    <cellStyle name="Followed Hyperlink" xfId="3723" builtinId="9" hidden="1"/>
    <cellStyle name="Followed Hyperlink" xfId="3725" builtinId="9" hidden="1"/>
    <cellStyle name="Followed Hyperlink" xfId="3727" builtinId="9" hidden="1"/>
    <cellStyle name="Followed Hyperlink" xfId="3729" builtinId="9" hidden="1"/>
    <cellStyle name="Followed Hyperlink" xfId="3731" builtinId="9" hidden="1"/>
    <cellStyle name="Followed Hyperlink" xfId="3733" builtinId="9" hidden="1"/>
    <cellStyle name="Followed Hyperlink" xfId="3735" builtinId="9" hidden="1"/>
    <cellStyle name="Followed Hyperlink" xfId="3737" builtinId="9" hidden="1"/>
    <cellStyle name="Followed Hyperlink" xfId="3739" builtinId="9" hidden="1"/>
    <cellStyle name="Followed Hyperlink" xfId="3741" builtinId="9" hidden="1"/>
    <cellStyle name="Followed Hyperlink" xfId="3743" builtinId="9" hidden="1"/>
    <cellStyle name="Followed Hyperlink" xfId="3745" builtinId="9" hidden="1"/>
    <cellStyle name="Followed Hyperlink" xfId="3747" builtinId="9" hidden="1"/>
    <cellStyle name="Followed Hyperlink" xfId="3749" builtinId="9" hidden="1"/>
    <cellStyle name="Followed Hyperlink" xfId="3751" builtinId="9" hidden="1"/>
    <cellStyle name="Followed Hyperlink" xfId="3753" builtinId="9" hidden="1"/>
    <cellStyle name="Followed Hyperlink" xfId="3755" builtinId="9" hidden="1"/>
    <cellStyle name="Followed Hyperlink" xfId="3757" builtinId="9" hidden="1"/>
    <cellStyle name="Followed Hyperlink" xfId="3759" builtinId="9" hidden="1"/>
    <cellStyle name="Followed Hyperlink" xfId="3761" builtinId="9" hidden="1"/>
    <cellStyle name="Followed Hyperlink" xfId="3763" builtinId="9" hidden="1"/>
    <cellStyle name="Followed Hyperlink" xfId="3765" builtinId="9" hidden="1"/>
    <cellStyle name="Followed Hyperlink" xfId="3767" builtinId="9" hidden="1"/>
    <cellStyle name="Followed Hyperlink" xfId="3769" builtinId="9" hidden="1"/>
    <cellStyle name="Followed Hyperlink" xfId="3771" builtinId="9" hidden="1"/>
    <cellStyle name="Followed Hyperlink" xfId="3773" builtinId="9" hidden="1"/>
    <cellStyle name="Followed Hyperlink" xfId="3775" builtinId="9" hidden="1"/>
    <cellStyle name="Followed Hyperlink" xfId="3777" builtinId="9" hidden="1"/>
    <cellStyle name="Followed Hyperlink" xfId="3779" builtinId="9" hidden="1"/>
    <cellStyle name="Followed Hyperlink" xfId="3781" builtinId="9" hidden="1"/>
    <cellStyle name="Followed Hyperlink" xfId="3783" builtinId="9" hidden="1"/>
    <cellStyle name="Followed Hyperlink" xfId="3785" builtinId="9" hidden="1"/>
    <cellStyle name="Followed Hyperlink" xfId="3787" builtinId="9" hidden="1"/>
    <cellStyle name="Followed Hyperlink" xfId="3789" builtinId="9" hidden="1"/>
    <cellStyle name="Followed Hyperlink" xfId="3791" builtinId="9" hidden="1"/>
    <cellStyle name="Followed Hyperlink" xfId="3793" builtinId="9" hidden="1"/>
    <cellStyle name="Followed Hyperlink" xfId="3795" builtinId="9" hidden="1"/>
    <cellStyle name="Followed Hyperlink" xfId="3797" builtinId="9" hidden="1"/>
    <cellStyle name="Followed Hyperlink" xfId="3799" builtinId="9" hidden="1"/>
    <cellStyle name="Followed Hyperlink" xfId="3801" builtinId="9" hidden="1"/>
    <cellStyle name="Followed Hyperlink" xfId="3803" builtinId="9" hidden="1"/>
    <cellStyle name="Followed Hyperlink" xfId="3805" builtinId="9" hidden="1"/>
    <cellStyle name="Followed Hyperlink" xfId="3807" builtinId="9" hidden="1"/>
    <cellStyle name="Followed Hyperlink" xfId="3809" builtinId="9" hidden="1"/>
    <cellStyle name="Followed Hyperlink" xfId="3811" builtinId="9" hidden="1"/>
    <cellStyle name="Followed Hyperlink" xfId="3813" builtinId="9" hidden="1"/>
    <cellStyle name="Followed Hyperlink" xfId="3815" builtinId="9" hidden="1"/>
    <cellStyle name="Followed Hyperlink" xfId="3817" builtinId="9" hidden="1"/>
    <cellStyle name="Followed Hyperlink" xfId="3819" builtinId="9" hidden="1"/>
    <cellStyle name="Followed Hyperlink" xfId="3821" builtinId="9" hidden="1"/>
    <cellStyle name="Followed Hyperlink" xfId="3823" builtinId="9" hidden="1"/>
    <cellStyle name="Followed Hyperlink" xfId="3825" builtinId="9" hidden="1"/>
    <cellStyle name="Followed Hyperlink" xfId="3827" builtinId="9" hidden="1"/>
    <cellStyle name="Followed Hyperlink" xfId="3829" builtinId="9" hidden="1"/>
    <cellStyle name="Followed Hyperlink" xfId="3831" builtinId="9" hidden="1"/>
    <cellStyle name="Followed Hyperlink" xfId="3833" builtinId="9" hidden="1"/>
    <cellStyle name="Followed Hyperlink" xfId="3835" builtinId="9" hidden="1"/>
    <cellStyle name="Followed Hyperlink" xfId="3837" builtinId="9" hidden="1"/>
    <cellStyle name="Followed Hyperlink" xfId="3839" builtinId="9" hidden="1"/>
    <cellStyle name="Followed Hyperlink" xfId="3841" builtinId="9" hidden="1"/>
    <cellStyle name="Followed Hyperlink" xfId="3843" builtinId="9" hidden="1"/>
    <cellStyle name="Followed Hyperlink" xfId="3845" builtinId="9" hidden="1"/>
    <cellStyle name="Followed Hyperlink" xfId="3847" builtinId="9" hidden="1"/>
    <cellStyle name="Followed Hyperlink" xfId="3849" builtinId="9" hidden="1"/>
    <cellStyle name="Followed Hyperlink" xfId="3851" builtinId="9" hidden="1"/>
    <cellStyle name="Followed Hyperlink" xfId="3853" builtinId="9" hidden="1"/>
    <cellStyle name="Followed Hyperlink" xfId="3855" builtinId="9" hidden="1"/>
    <cellStyle name="Followed Hyperlink" xfId="3857" builtinId="9" hidden="1"/>
    <cellStyle name="Followed Hyperlink" xfId="3859" builtinId="9" hidden="1"/>
    <cellStyle name="Followed Hyperlink" xfId="3861" builtinId="9" hidden="1"/>
    <cellStyle name="Followed Hyperlink" xfId="3863" builtinId="9" hidden="1"/>
    <cellStyle name="Followed Hyperlink" xfId="3865" builtinId="9" hidden="1"/>
    <cellStyle name="Followed Hyperlink" xfId="3867" builtinId="9" hidden="1"/>
    <cellStyle name="Followed Hyperlink" xfId="3869" builtinId="9" hidden="1"/>
    <cellStyle name="Followed Hyperlink" xfId="3871" builtinId="9" hidden="1"/>
    <cellStyle name="Followed Hyperlink" xfId="3873" builtinId="9" hidden="1"/>
    <cellStyle name="Followed Hyperlink" xfId="3875" builtinId="9" hidden="1"/>
    <cellStyle name="Followed Hyperlink" xfId="3877" builtinId="9" hidden="1"/>
    <cellStyle name="Followed Hyperlink" xfId="3879" builtinId="9" hidden="1"/>
    <cellStyle name="Followed Hyperlink" xfId="3881" builtinId="9" hidden="1"/>
    <cellStyle name="Followed Hyperlink" xfId="3883" builtinId="9" hidden="1"/>
    <cellStyle name="Followed Hyperlink" xfId="3885" builtinId="9" hidden="1"/>
    <cellStyle name="Followed Hyperlink" xfId="3887" builtinId="9" hidden="1"/>
    <cellStyle name="Followed Hyperlink" xfId="3889" builtinId="9" hidden="1"/>
    <cellStyle name="Followed Hyperlink" xfId="3891" builtinId="9" hidden="1"/>
    <cellStyle name="Followed Hyperlink" xfId="3893" builtinId="9" hidden="1"/>
    <cellStyle name="Followed Hyperlink" xfId="3895" builtinId="9" hidden="1"/>
    <cellStyle name="Followed Hyperlink" xfId="3897" builtinId="9" hidden="1"/>
    <cellStyle name="Followed Hyperlink" xfId="3899" builtinId="9" hidden="1"/>
    <cellStyle name="Followed Hyperlink" xfId="3901" builtinId="9" hidden="1"/>
    <cellStyle name="Followed Hyperlink" xfId="3903" builtinId="9" hidden="1"/>
    <cellStyle name="Followed Hyperlink" xfId="3905" builtinId="9" hidden="1"/>
    <cellStyle name="Followed Hyperlink" xfId="3907" builtinId="9" hidden="1"/>
    <cellStyle name="Followed Hyperlink" xfId="3909" builtinId="9" hidden="1"/>
    <cellStyle name="Followed Hyperlink" xfId="3911" builtinId="9" hidden="1"/>
    <cellStyle name="Followed Hyperlink" xfId="3913" builtinId="9" hidden="1"/>
    <cellStyle name="Followed Hyperlink" xfId="3915" builtinId="9" hidden="1"/>
    <cellStyle name="Followed Hyperlink" xfId="3917" builtinId="9" hidden="1"/>
    <cellStyle name="Followed Hyperlink" xfId="3919" builtinId="9" hidden="1"/>
    <cellStyle name="Followed Hyperlink" xfId="3921" builtinId="9" hidden="1"/>
    <cellStyle name="Followed Hyperlink" xfId="3923" builtinId="9" hidden="1"/>
    <cellStyle name="Followed Hyperlink" xfId="3925" builtinId="9" hidden="1"/>
    <cellStyle name="Followed Hyperlink" xfId="3927" builtinId="9" hidden="1"/>
    <cellStyle name="Followed Hyperlink" xfId="3929" builtinId="9" hidden="1"/>
    <cellStyle name="Followed Hyperlink" xfId="3931" builtinId="9" hidden="1"/>
    <cellStyle name="Followed Hyperlink" xfId="3933" builtinId="9" hidden="1"/>
    <cellStyle name="Followed Hyperlink" xfId="3935" builtinId="9" hidden="1"/>
    <cellStyle name="Followed Hyperlink" xfId="3937" builtinId="9" hidden="1"/>
    <cellStyle name="Followed Hyperlink" xfId="3939" builtinId="9" hidden="1"/>
    <cellStyle name="Followed Hyperlink" xfId="3941" builtinId="9" hidden="1"/>
    <cellStyle name="Followed Hyperlink" xfId="3943" builtinId="9" hidden="1"/>
    <cellStyle name="Followed Hyperlink" xfId="3945" builtinId="9" hidden="1"/>
    <cellStyle name="Followed Hyperlink" xfId="3947" builtinId="9" hidden="1"/>
    <cellStyle name="Followed Hyperlink" xfId="3949" builtinId="9" hidden="1"/>
    <cellStyle name="Followed Hyperlink" xfId="3951" builtinId="9" hidden="1"/>
    <cellStyle name="Followed Hyperlink" xfId="3953" builtinId="9" hidden="1"/>
    <cellStyle name="Followed Hyperlink" xfId="3955" builtinId="9" hidden="1"/>
    <cellStyle name="Followed Hyperlink" xfId="3957" builtinId="9" hidden="1"/>
    <cellStyle name="Followed Hyperlink" xfId="3959" builtinId="9" hidden="1"/>
    <cellStyle name="Followed Hyperlink" xfId="3961" builtinId="9" hidden="1"/>
    <cellStyle name="Followed Hyperlink" xfId="3963" builtinId="9" hidden="1"/>
    <cellStyle name="Followed Hyperlink" xfId="3965" builtinId="9" hidden="1"/>
    <cellStyle name="Followed Hyperlink" xfId="3967" builtinId="9" hidden="1"/>
    <cellStyle name="Followed Hyperlink" xfId="3969" builtinId="9" hidden="1"/>
    <cellStyle name="Followed Hyperlink" xfId="3971" builtinId="9" hidden="1"/>
    <cellStyle name="Followed Hyperlink" xfId="3973" builtinId="9" hidden="1"/>
    <cellStyle name="Followed Hyperlink" xfId="3975" builtinId="9" hidden="1"/>
    <cellStyle name="Followed Hyperlink" xfId="3977" builtinId="9" hidden="1"/>
    <cellStyle name="Followed Hyperlink" xfId="3979" builtinId="9" hidden="1"/>
    <cellStyle name="Followed Hyperlink" xfId="3981" builtinId="9" hidden="1"/>
    <cellStyle name="Followed Hyperlink" xfId="3983" builtinId="9" hidden="1"/>
    <cellStyle name="Followed Hyperlink" xfId="3985" builtinId="9" hidden="1"/>
    <cellStyle name="Followed Hyperlink" xfId="3987" builtinId="9" hidden="1"/>
    <cellStyle name="Followed Hyperlink" xfId="3989" builtinId="9" hidden="1"/>
    <cellStyle name="Followed Hyperlink" xfId="3991" builtinId="9" hidden="1"/>
    <cellStyle name="Followed Hyperlink" xfId="3993" builtinId="9" hidden="1"/>
    <cellStyle name="Followed Hyperlink" xfId="3995" builtinId="9" hidden="1"/>
    <cellStyle name="Followed Hyperlink" xfId="3997" builtinId="9" hidden="1"/>
    <cellStyle name="Followed Hyperlink" xfId="3999" builtinId="9" hidden="1"/>
    <cellStyle name="Followed Hyperlink" xfId="4001" builtinId="9" hidden="1"/>
    <cellStyle name="Followed Hyperlink" xfId="4003" builtinId="9" hidden="1"/>
    <cellStyle name="Followed Hyperlink" xfId="4005" builtinId="9" hidden="1"/>
    <cellStyle name="Followed Hyperlink" xfId="4007" builtinId="9" hidden="1"/>
    <cellStyle name="Followed Hyperlink" xfId="4009" builtinId="9" hidden="1"/>
    <cellStyle name="Followed Hyperlink" xfId="4011" builtinId="9" hidden="1"/>
    <cellStyle name="Followed Hyperlink" xfId="4013" builtinId="9" hidden="1"/>
    <cellStyle name="Followed Hyperlink" xfId="4015" builtinId="9" hidden="1"/>
    <cellStyle name="Followed Hyperlink" xfId="4017" builtinId="9" hidden="1"/>
    <cellStyle name="Followed Hyperlink" xfId="4019" builtinId="9" hidden="1"/>
    <cellStyle name="Followed Hyperlink" xfId="4021" builtinId="9" hidden="1"/>
    <cellStyle name="Followed Hyperlink" xfId="4023" builtinId="9" hidden="1"/>
    <cellStyle name="Followed Hyperlink" xfId="4025" builtinId="9" hidden="1"/>
    <cellStyle name="Followed Hyperlink" xfId="4027" builtinId="9" hidden="1"/>
    <cellStyle name="Followed Hyperlink" xfId="4029" builtinId="9" hidden="1"/>
    <cellStyle name="Followed Hyperlink" xfId="4031" builtinId="9" hidden="1"/>
    <cellStyle name="Followed Hyperlink" xfId="4033" builtinId="9" hidden="1"/>
    <cellStyle name="Followed Hyperlink" xfId="4035" builtinId="9" hidden="1"/>
    <cellStyle name="Followed Hyperlink" xfId="4037" builtinId="9" hidden="1"/>
    <cellStyle name="Followed Hyperlink" xfId="4039" builtinId="9" hidden="1"/>
    <cellStyle name="Followed Hyperlink" xfId="4041" builtinId="9" hidden="1"/>
    <cellStyle name="Followed Hyperlink" xfId="4043" builtinId="9" hidden="1"/>
    <cellStyle name="Followed Hyperlink" xfId="4045" builtinId="9" hidden="1"/>
    <cellStyle name="Followed Hyperlink" xfId="4047" builtinId="9" hidden="1"/>
    <cellStyle name="Followed Hyperlink" xfId="4049" builtinId="9" hidden="1"/>
    <cellStyle name="Followed Hyperlink" xfId="4051" builtinId="9" hidden="1"/>
    <cellStyle name="Followed Hyperlink" xfId="4053" builtinId="9" hidden="1"/>
    <cellStyle name="Followed Hyperlink" xfId="4055" builtinId="9" hidden="1"/>
    <cellStyle name="Followed Hyperlink" xfId="4057" builtinId="9" hidden="1"/>
    <cellStyle name="Followed Hyperlink" xfId="4059" builtinId="9" hidden="1"/>
    <cellStyle name="Followed Hyperlink" xfId="4061" builtinId="9" hidden="1"/>
    <cellStyle name="Followed Hyperlink" xfId="4063" builtinId="9" hidden="1"/>
    <cellStyle name="Followed Hyperlink" xfId="4065" builtinId="9" hidden="1"/>
    <cellStyle name="Followed Hyperlink" xfId="4067" builtinId="9" hidden="1"/>
    <cellStyle name="Followed Hyperlink" xfId="4069" builtinId="9" hidden="1"/>
    <cellStyle name="Followed Hyperlink" xfId="4071" builtinId="9" hidden="1"/>
    <cellStyle name="Followed Hyperlink" xfId="4073" builtinId="9" hidden="1"/>
    <cellStyle name="Followed Hyperlink" xfId="4075" builtinId="9" hidden="1"/>
    <cellStyle name="Followed Hyperlink" xfId="4077" builtinId="9" hidden="1"/>
    <cellStyle name="Followed Hyperlink" xfId="4079" builtinId="9" hidden="1"/>
    <cellStyle name="Followed Hyperlink" xfId="4081" builtinId="9" hidden="1"/>
    <cellStyle name="Followed Hyperlink" xfId="4083" builtinId="9" hidden="1"/>
    <cellStyle name="Followed Hyperlink" xfId="4085" builtinId="9" hidden="1"/>
    <cellStyle name="Followed Hyperlink" xfId="4087" builtinId="9" hidden="1"/>
    <cellStyle name="Followed Hyperlink" xfId="4089" builtinId="9" hidden="1"/>
    <cellStyle name="Followed Hyperlink" xfId="4091" builtinId="9" hidden="1"/>
    <cellStyle name="Followed Hyperlink" xfId="4093" builtinId="9" hidden="1"/>
    <cellStyle name="Followed Hyperlink" xfId="4095" builtinId="9" hidden="1"/>
    <cellStyle name="Followed Hyperlink" xfId="4097" builtinId="9" hidden="1"/>
    <cellStyle name="Followed Hyperlink" xfId="4099" builtinId="9" hidden="1"/>
    <cellStyle name="Followed Hyperlink" xfId="4101" builtinId="9" hidden="1"/>
    <cellStyle name="Followed Hyperlink" xfId="4103" builtinId="9" hidden="1"/>
    <cellStyle name="Followed Hyperlink" xfId="4105" builtinId="9" hidden="1"/>
    <cellStyle name="Followed Hyperlink" xfId="4107" builtinId="9" hidden="1"/>
    <cellStyle name="Followed Hyperlink" xfId="4109" builtinId="9" hidden="1"/>
    <cellStyle name="Followed Hyperlink" xfId="4111" builtinId="9" hidden="1"/>
    <cellStyle name="Followed Hyperlink" xfId="4113" builtinId="9" hidden="1"/>
    <cellStyle name="Followed Hyperlink" xfId="4115" builtinId="9" hidden="1"/>
    <cellStyle name="Followed Hyperlink" xfId="4117" builtinId="9" hidden="1"/>
    <cellStyle name="Followed Hyperlink" xfId="4119" builtinId="9" hidden="1"/>
    <cellStyle name="Followed Hyperlink" xfId="4121" builtinId="9" hidden="1"/>
    <cellStyle name="Followed Hyperlink" xfId="4123" builtinId="9" hidden="1"/>
    <cellStyle name="Followed Hyperlink" xfId="4125" builtinId="9" hidden="1"/>
    <cellStyle name="Followed Hyperlink" xfId="4127" builtinId="9" hidden="1"/>
    <cellStyle name="Followed Hyperlink" xfId="4129" builtinId="9" hidden="1"/>
    <cellStyle name="Followed Hyperlink" xfId="4131" builtinId="9" hidden="1"/>
    <cellStyle name="Followed Hyperlink" xfId="4133" builtinId="9" hidden="1"/>
    <cellStyle name="Followed Hyperlink" xfId="4135" builtinId="9" hidden="1"/>
    <cellStyle name="Followed Hyperlink" xfId="4137" builtinId="9" hidden="1"/>
    <cellStyle name="Followed Hyperlink" xfId="4139" builtinId="9" hidden="1"/>
    <cellStyle name="Followed Hyperlink" xfId="4141" builtinId="9" hidden="1"/>
    <cellStyle name="Followed Hyperlink" xfId="4143" builtinId="9" hidden="1"/>
    <cellStyle name="Followed Hyperlink" xfId="4145" builtinId="9" hidden="1"/>
    <cellStyle name="Followed Hyperlink" xfId="4147" builtinId="9" hidden="1"/>
    <cellStyle name="Followed Hyperlink" xfId="4149" builtinId="9" hidden="1"/>
    <cellStyle name="Followed Hyperlink" xfId="4151" builtinId="9" hidden="1"/>
    <cellStyle name="Followed Hyperlink" xfId="4153" builtinId="9" hidden="1"/>
    <cellStyle name="Followed Hyperlink" xfId="4155" builtinId="9" hidden="1"/>
    <cellStyle name="Followed Hyperlink" xfId="4157" builtinId="9" hidden="1"/>
    <cellStyle name="Followed Hyperlink" xfId="4159" builtinId="9" hidden="1"/>
    <cellStyle name="Followed Hyperlink" xfId="4161" builtinId="9" hidden="1"/>
    <cellStyle name="Followed Hyperlink" xfId="4163" builtinId="9" hidden="1"/>
    <cellStyle name="Followed Hyperlink" xfId="4165" builtinId="9" hidden="1"/>
    <cellStyle name="Followed Hyperlink" xfId="4167" builtinId="9" hidden="1"/>
    <cellStyle name="Followed Hyperlink" xfId="4169" builtinId="9" hidden="1"/>
    <cellStyle name="Followed Hyperlink" xfId="4171" builtinId="9" hidden="1"/>
    <cellStyle name="Followed Hyperlink" xfId="4173" builtinId="9" hidden="1"/>
    <cellStyle name="Followed Hyperlink" xfId="4175" builtinId="9" hidden="1"/>
    <cellStyle name="Followed Hyperlink" xfId="4177" builtinId="9" hidden="1"/>
    <cellStyle name="Followed Hyperlink" xfId="4179" builtinId="9" hidden="1"/>
    <cellStyle name="Followed Hyperlink" xfId="4181" builtinId="9" hidden="1"/>
    <cellStyle name="Followed Hyperlink" xfId="4183" builtinId="9" hidden="1"/>
    <cellStyle name="Followed Hyperlink" xfId="4185" builtinId="9" hidden="1"/>
    <cellStyle name="Followed Hyperlink" xfId="4187" builtinId="9" hidden="1"/>
    <cellStyle name="Followed Hyperlink" xfId="4189" builtinId="9" hidden="1"/>
    <cellStyle name="Followed Hyperlink" xfId="4191" builtinId="9" hidden="1"/>
    <cellStyle name="Followed Hyperlink" xfId="4193" builtinId="9" hidden="1"/>
    <cellStyle name="Followed Hyperlink" xfId="4195" builtinId="9" hidden="1"/>
    <cellStyle name="Followed Hyperlink" xfId="4197" builtinId="9" hidden="1"/>
    <cellStyle name="Followed Hyperlink" xfId="4199" builtinId="9" hidden="1"/>
    <cellStyle name="Followed Hyperlink" xfId="4201" builtinId="9" hidden="1"/>
    <cellStyle name="Followed Hyperlink" xfId="4203" builtinId="9" hidden="1"/>
    <cellStyle name="Followed Hyperlink" xfId="4205" builtinId="9" hidden="1"/>
    <cellStyle name="Followed Hyperlink" xfId="4207" builtinId="9" hidden="1"/>
    <cellStyle name="Followed Hyperlink" xfId="4209" builtinId="9" hidden="1"/>
    <cellStyle name="Followed Hyperlink" xfId="4211" builtinId="9" hidden="1"/>
    <cellStyle name="Followed Hyperlink" xfId="4213" builtinId="9" hidden="1"/>
    <cellStyle name="Followed Hyperlink" xfId="4215" builtinId="9" hidden="1"/>
    <cellStyle name="Followed Hyperlink" xfId="4217" builtinId="9" hidden="1"/>
    <cellStyle name="Followed Hyperlink" xfId="4219" builtinId="9" hidden="1"/>
    <cellStyle name="Followed Hyperlink" xfId="4221" builtinId="9" hidden="1"/>
    <cellStyle name="Followed Hyperlink" xfId="4223" builtinId="9" hidden="1"/>
    <cellStyle name="Followed Hyperlink" xfId="4225" builtinId="9" hidden="1"/>
    <cellStyle name="Followed Hyperlink" xfId="4227" builtinId="9" hidden="1"/>
    <cellStyle name="Followed Hyperlink" xfId="4229" builtinId="9" hidden="1"/>
    <cellStyle name="Followed Hyperlink" xfId="4231" builtinId="9" hidden="1"/>
    <cellStyle name="Followed Hyperlink" xfId="4233" builtinId="9" hidden="1"/>
    <cellStyle name="Followed Hyperlink" xfId="4235" builtinId="9" hidden="1"/>
    <cellStyle name="Followed Hyperlink" xfId="4237" builtinId="9" hidden="1"/>
    <cellStyle name="Followed Hyperlink" xfId="4239" builtinId="9" hidden="1"/>
    <cellStyle name="Followed Hyperlink" xfId="4241" builtinId="9" hidden="1"/>
    <cellStyle name="Followed Hyperlink" xfId="4243" builtinId="9" hidden="1"/>
    <cellStyle name="Followed Hyperlink" xfId="4245" builtinId="9" hidden="1"/>
    <cellStyle name="Followed Hyperlink" xfId="4247" builtinId="9" hidden="1"/>
    <cellStyle name="Followed Hyperlink" xfId="4249" builtinId="9" hidden="1"/>
    <cellStyle name="Followed Hyperlink" xfId="4251" builtinId="9" hidden="1"/>
    <cellStyle name="Followed Hyperlink" xfId="4253" builtinId="9" hidden="1"/>
    <cellStyle name="Followed Hyperlink" xfId="4255" builtinId="9" hidden="1"/>
    <cellStyle name="Followed Hyperlink" xfId="4257" builtinId="9" hidden="1"/>
    <cellStyle name="Followed Hyperlink" xfId="4259" builtinId="9" hidden="1"/>
    <cellStyle name="Followed Hyperlink" xfId="4261" builtinId="9" hidden="1"/>
    <cellStyle name="Followed Hyperlink" xfId="4263" builtinId="9" hidden="1"/>
    <cellStyle name="Followed Hyperlink" xfId="4265" builtinId="9" hidden="1"/>
    <cellStyle name="Followed Hyperlink" xfId="4267" builtinId="9" hidden="1"/>
    <cellStyle name="Followed Hyperlink" xfId="4269" builtinId="9" hidden="1"/>
    <cellStyle name="Followed Hyperlink" xfId="4271" builtinId="9" hidden="1"/>
    <cellStyle name="Followed Hyperlink" xfId="4273" builtinId="9" hidden="1"/>
    <cellStyle name="Followed Hyperlink" xfId="4275" builtinId="9" hidden="1"/>
    <cellStyle name="Followed Hyperlink" xfId="4277" builtinId="9" hidden="1"/>
    <cellStyle name="Followed Hyperlink" xfId="4279" builtinId="9" hidden="1"/>
    <cellStyle name="Followed Hyperlink" xfId="4281" builtinId="9" hidden="1"/>
    <cellStyle name="Followed Hyperlink" xfId="4283" builtinId="9" hidden="1"/>
    <cellStyle name="Followed Hyperlink" xfId="4285" builtinId="9" hidden="1"/>
    <cellStyle name="Followed Hyperlink" xfId="4287" builtinId="9" hidden="1"/>
    <cellStyle name="Followed Hyperlink" xfId="4289" builtinId="9" hidden="1"/>
    <cellStyle name="Followed Hyperlink" xfId="4291" builtinId="9" hidden="1"/>
    <cellStyle name="Followed Hyperlink" xfId="4293" builtinId="9" hidden="1"/>
    <cellStyle name="Followed Hyperlink" xfId="4295" builtinId="9" hidden="1"/>
    <cellStyle name="Followed Hyperlink" xfId="4297" builtinId="9" hidden="1"/>
    <cellStyle name="Followed Hyperlink" xfId="4299" builtinId="9" hidden="1"/>
    <cellStyle name="Followed Hyperlink" xfId="4301" builtinId="9" hidden="1"/>
    <cellStyle name="Followed Hyperlink" xfId="4303" builtinId="9" hidden="1"/>
    <cellStyle name="Followed Hyperlink" xfId="4305" builtinId="9" hidden="1"/>
    <cellStyle name="Followed Hyperlink" xfId="4307" builtinId="9" hidden="1"/>
    <cellStyle name="Followed Hyperlink" xfId="4309" builtinId="9" hidden="1"/>
    <cellStyle name="Followed Hyperlink" xfId="4311" builtinId="9" hidden="1"/>
    <cellStyle name="Followed Hyperlink" xfId="4313" builtinId="9" hidden="1"/>
    <cellStyle name="Followed Hyperlink" xfId="4315" builtinId="9" hidden="1"/>
    <cellStyle name="Followed Hyperlink" xfId="4317" builtinId="9" hidden="1"/>
    <cellStyle name="Followed Hyperlink" xfId="4319" builtinId="9" hidden="1"/>
    <cellStyle name="Followed Hyperlink" xfId="4321" builtinId="9" hidden="1"/>
    <cellStyle name="Followed Hyperlink" xfId="4323" builtinId="9" hidden="1"/>
    <cellStyle name="Followed Hyperlink" xfId="4325" builtinId="9" hidden="1"/>
    <cellStyle name="Followed Hyperlink" xfId="4327" builtinId="9" hidden="1"/>
    <cellStyle name="Followed Hyperlink" xfId="4329" builtinId="9" hidden="1"/>
    <cellStyle name="Followed Hyperlink" xfId="4331" builtinId="9" hidden="1"/>
    <cellStyle name="Followed Hyperlink" xfId="4333" builtinId="9" hidden="1"/>
    <cellStyle name="Followed Hyperlink" xfId="4335" builtinId="9" hidden="1"/>
    <cellStyle name="Followed Hyperlink" xfId="4337" builtinId="9" hidden="1"/>
    <cellStyle name="Followed Hyperlink" xfId="4339" builtinId="9" hidden="1"/>
    <cellStyle name="Followed Hyperlink" xfId="4341" builtinId="9" hidden="1"/>
    <cellStyle name="Followed Hyperlink" xfId="4343" builtinId="9" hidden="1"/>
    <cellStyle name="Followed Hyperlink" xfId="4345" builtinId="9" hidden="1"/>
    <cellStyle name="Followed Hyperlink" xfId="4347" builtinId="9" hidden="1"/>
    <cellStyle name="Followed Hyperlink" xfId="4349" builtinId="9" hidden="1"/>
    <cellStyle name="Followed Hyperlink" xfId="4351" builtinId="9" hidden="1"/>
    <cellStyle name="Followed Hyperlink" xfId="4353" builtinId="9" hidden="1"/>
    <cellStyle name="Followed Hyperlink" xfId="4355" builtinId="9" hidden="1"/>
    <cellStyle name="Followed Hyperlink" xfId="4357" builtinId="9" hidden="1"/>
    <cellStyle name="Followed Hyperlink" xfId="4359" builtinId="9" hidden="1"/>
    <cellStyle name="Followed Hyperlink" xfId="4361" builtinId="9" hidden="1"/>
    <cellStyle name="Followed Hyperlink" xfId="4363" builtinId="9" hidden="1"/>
    <cellStyle name="Followed Hyperlink" xfId="4365" builtinId="9" hidden="1"/>
    <cellStyle name="Followed Hyperlink" xfId="4367" builtinId="9" hidden="1"/>
    <cellStyle name="Followed Hyperlink" xfId="4369" builtinId="9" hidden="1"/>
    <cellStyle name="Followed Hyperlink" xfId="4371" builtinId="9" hidden="1"/>
    <cellStyle name="Followed Hyperlink" xfId="4373" builtinId="9" hidden="1"/>
    <cellStyle name="Followed Hyperlink" xfId="4375" builtinId="9" hidden="1"/>
    <cellStyle name="Followed Hyperlink" xfId="4377" builtinId="9" hidden="1"/>
    <cellStyle name="Followed Hyperlink" xfId="4379" builtinId="9" hidden="1"/>
    <cellStyle name="Followed Hyperlink" xfId="4381" builtinId="9" hidden="1"/>
    <cellStyle name="Followed Hyperlink" xfId="4383" builtinId="9" hidden="1"/>
    <cellStyle name="Followed Hyperlink" xfId="4385" builtinId="9" hidden="1"/>
    <cellStyle name="Followed Hyperlink" xfId="4387" builtinId="9" hidden="1"/>
    <cellStyle name="Followed Hyperlink" xfId="4389" builtinId="9" hidden="1"/>
    <cellStyle name="Followed Hyperlink" xfId="4391" builtinId="9" hidden="1"/>
    <cellStyle name="Followed Hyperlink" xfId="4393" builtinId="9" hidden="1"/>
    <cellStyle name="Followed Hyperlink" xfId="4395" builtinId="9" hidden="1"/>
    <cellStyle name="Followed Hyperlink" xfId="4397" builtinId="9" hidden="1"/>
    <cellStyle name="Followed Hyperlink" xfId="4399" builtinId="9" hidden="1"/>
    <cellStyle name="Followed Hyperlink" xfId="4401" builtinId="9" hidden="1"/>
    <cellStyle name="Followed Hyperlink" xfId="4403" builtinId="9" hidden="1"/>
    <cellStyle name="Followed Hyperlink" xfId="4405" builtinId="9" hidden="1"/>
    <cellStyle name="Followed Hyperlink" xfId="4407" builtinId="9" hidden="1"/>
    <cellStyle name="Followed Hyperlink" xfId="4409" builtinId="9" hidden="1"/>
    <cellStyle name="Followed Hyperlink" xfId="4411" builtinId="9" hidden="1"/>
    <cellStyle name="Followed Hyperlink" xfId="4413" builtinId="9" hidden="1"/>
    <cellStyle name="Followed Hyperlink" xfId="4415" builtinId="9" hidden="1"/>
    <cellStyle name="Followed Hyperlink" xfId="4417" builtinId="9" hidden="1"/>
    <cellStyle name="Followed Hyperlink" xfId="4419" builtinId="9" hidden="1"/>
    <cellStyle name="Followed Hyperlink" xfId="4421" builtinId="9" hidden="1"/>
    <cellStyle name="Followed Hyperlink" xfId="4423" builtinId="9" hidden="1"/>
    <cellStyle name="Followed Hyperlink" xfId="4425" builtinId="9" hidden="1"/>
    <cellStyle name="Followed Hyperlink" xfId="4427" builtinId="9" hidden="1"/>
    <cellStyle name="Followed Hyperlink" xfId="4429" builtinId="9" hidden="1"/>
    <cellStyle name="Followed Hyperlink" xfId="4431" builtinId="9" hidden="1"/>
    <cellStyle name="Followed Hyperlink" xfId="4433" builtinId="9" hidden="1"/>
    <cellStyle name="Followed Hyperlink" xfId="4435" builtinId="9" hidden="1"/>
    <cellStyle name="Followed Hyperlink" xfId="4437" builtinId="9" hidden="1"/>
    <cellStyle name="Followed Hyperlink" xfId="4439" builtinId="9" hidden="1"/>
    <cellStyle name="Followed Hyperlink" xfId="4441" builtinId="9" hidden="1"/>
    <cellStyle name="Followed Hyperlink" xfId="4443" builtinId="9" hidden="1"/>
    <cellStyle name="Followed Hyperlink" xfId="4445" builtinId="9" hidden="1"/>
    <cellStyle name="Followed Hyperlink" xfId="4447" builtinId="9" hidden="1"/>
    <cellStyle name="Followed Hyperlink" xfId="4449" builtinId="9" hidden="1"/>
    <cellStyle name="Followed Hyperlink" xfId="4451" builtinId="9" hidden="1"/>
    <cellStyle name="Followed Hyperlink" xfId="4453" builtinId="9" hidden="1"/>
    <cellStyle name="Followed Hyperlink" xfId="4455" builtinId="9" hidden="1"/>
    <cellStyle name="Followed Hyperlink" xfId="4457" builtinId="9" hidden="1"/>
    <cellStyle name="Followed Hyperlink" xfId="4459" builtinId="9" hidden="1"/>
    <cellStyle name="Followed Hyperlink" xfId="4461" builtinId="9" hidden="1"/>
    <cellStyle name="Followed Hyperlink" xfId="4463" builtinId="9" hidden="1"/>
    <cellStyle name="Followed Hyperlink" xfId="4465" builtinId="9" hidden="1"/>
    <cellStyle name="Followed Hyperlink" xfId="4467" builtinId="9" hidden="1"/>
    <cellStyle name="Followed Hyperlink" xfId="4469" builtinId="9" hidden="1"/>
    <cellStyle name="Followed Hyperlink" xfId="4471" builtinId="9" hidden="1"/>
    <cellStyle name="Followed Hyperlink" xfId="4473" builtinId="9" hidden="1"/>
    <cellStyle name="Followed Hyperlink" xfId="4475" builtinId="9" hidden="1"/>
    <cellStyle name="Followed Hyperlink" xfId="4477" builtinId="9" hidden="1"/>
    <cellStyle name="Followed Hyperlink" xfId="4479" builtinId="9" hidden="1"/>
    <cellStyle name="Followed Hyperlink" xfId="4481" builtinId="9" hidden="1"/>
    <cellStyle name="Followed Hyperlink" xfId="4483" builtinId="9" hidden="1"/>
    <cellStyle name="Followed Hyperlink" xfId="4485" builtinId="9" hidden="1"/>
    <cellStyle name="Followed Hyperlink" xfId="4487" builtinId="9" hidden="1"/>
    <cellStyle name="Followed Hyperlink" xfId="4489" builtinId="9" hidden="1"/>
    <cellStyle name="Followed Hyperlink" xfId="4491" builtinId="9" hidden="1"/>
    <cellStyle name="Followed Hyperlink" xfId="4493" builtinId="9" hidden="1"/>
    <cellStyle name="Followed Hyperlink" xfId="4495" builtinId="9" hidden="1"/>
    <cellStyle name="Followed Hyperlink" xfId="4497" builtinId="9" hidden="1"/>
    <cellStyle name="Followed Hyperlink" xfId="4499" builtinId="9" hidden="1"/>
    <cellStyle name="Followed Hyperlink" xfId="4501" builtinId="9" hidden="1"/>
    <cellStyle name="Followed Hyperlink" xfId="4503" builtinId="9" hidden="1"/>
    <cellStyle name="Followed Hyperlink" xfId="4505" builtinId="9" hidden="1"/>
    <cellStyle name="Followed Hyperlink" xfId="4507" builtinId="9" hidden="1"/>
    <cellStyle name="Followed Hyperlink" xfId="4509" builtinId="9" hidden="1"/>
    <cellStyle name="Followed Hyperlink" xfId="4511" builtinId="9" hidden="1"/>
    <cellStyle name="Followed Hyperlink" xfId="4513" builtinId="9" hidden="1"/>
    <cellStyle name="Followed Hyperlink" xfId="4515" builtinId="9" hidden="1"/>
    <cellStyle name="Followed Hyperlink" xfId="4517" builtinId="9" hidden="1"/>
    <cellStyle name="Followed Hyperlink" xfId="4519" builtinId="9" hidden="1"/>
    <cellStyle name="Followed Hyperlink" xfId="4521" builtinId="9" hidden="1"/>
    <cellStyle name="Followed Hyperlink" xfId="4523" builtinId="9" hidden="1"/>
    <cellStyle name="Followed Hyperlink" xfId="4525" builtinId="9" hidden="1"/>
    <cellStyle name="Followed Hyperlink" xfId="4527" builtinId="9" hidden="1"/>
    <cellStyle name="Followed Hyperlink" xfId="4529" builtinId="9" hidden="1"/>
    <cellStyle name="Followed Hyperlink" xfId="4531" builtinId="9" hidden="1"/>
    <cellStyle name="Followed Hyperlink" xfId="4533" builtinId="9" hidden="1"/>
    <cellStyle name="Followed Hyperlink" xfId="4535" builtinId="9" hidden="1"/>
    <cellStyle name="Followed Hyperlink" xfId="4537" builtinId="9" hidden="1"/>
    <cellStyle name="Followed Hyperlink" xfId="4539" builtinId="9" hidden="1"/>
    <cellStyle name="Followed Hyperlink" xfId="4541" builtinId="9" hidden="1"/>
    <cellStyle name="Followed Hyperlink" xfId="4543" builtinId="9" hidden="1"/>
    <cellStyle name="Followed Hyperlink" xfId="4545" builtinId="9" hidden="1"/>
    <cellStyle name="Followed Hyperlink" xfId="4547" builtinId="9" hidden="1"/>
    <cellStyle name="Followed Hyperlink" xfId="4549" builtinId="9" hidden="1"/>
    <cellStyle name="Followed Hyperlink" xfId="4551" builtinId="9" hidden="1"/>
    <cellStyle name="Followed Hyperlink" xfId="4553" builtinId="9" hidden="1"/>
    <cellStyle name="Followed Hyperlink" xfId="4555" builtinId="9" hidden="1"/>
    <cellStyle name="Followed Hyperlink" xfId="4557" builtinId="9" hidden="1"/>
    <cellStyle name="Followed Hyperlink" xfId="4559" builtinId="9" hidden="1"/>
    <cellStyle name="Followed Hyperlink" xfId="4561" builtinId="9" hidden="1"/>
    <cellStyle name="Followed Hyperlink" xfId="4563" builtinId="9" hidden="1"/>
    <cellStyle name="Followed Hyperlink" xfId="4565" builtinId="9" hidden="1"/>
    <cellStyle name="Followed Hyperlink" xfId="4567" builtinId="9" hidden="1"/>
    <cellStyle name="Followed Hyperlink" xfId="4569" builtinId="9" hidden="1"/>
    <cellStyle name="Followed Hyperlink" xfId="4571" builtinId="9" hidden="1"/>
    <cellStyle name="Followed Hyperlink" xfId="4573" builtinId="9" hidden="1"/>
    <cellStyle name="Followed Hyperlink" xfId="4575" builtinId="9" hidden="1"/>
    <cellStyle name="Followed Hyperlink" xfId="4577" builtinId="9" hidden="1"/>
    <cellStyle name="Followed Hyperlink" xfId="4579" builtinId="9" hidden="1"/>
    <cellStyle name="Followed Hyperlink" xfId="4581" builtinId="9" hidden="1"/>
    <cellStyle name="Followed Hyperlink" xfId="4583" builtinId="9" hidden="1"/>
    <cellStyle name="Followed Hyperlink" xfId="4585" builtinId="9" hidden="1"/>
    <cellStyle name="Followed Hyperlink" xfId="4587" builtinId="9" hidden="1"/>
    <cellStyle name="Followed Hyperlink" xfId="4589" builtinId="9" hidden="1"/>
    <cellStyle name="Followed Hyperlink" xfId="4591" builtinId="9" hidden="1"/>
    <cellStyle name="Followed Hyperlink" xfId="4593" builtinId="9" hidden="1"/>
    <cellStyle name="Followed Hyperlink" xfId="4595" builtinId="9" hidden="1"/>
    <cellStyle name="Followed Hyperlink" xfId="4597" builtinId="9" hidden="1"/>
    <cellStyle name="Followed Hyperlink" xfId="4599" builtinId="9" hidden="1"/>
    <cellStyle name="Followed Hyperlink" xfId="4601" builtinId="9" hidden="1"/>
    <cellStyle name="Followed Hyperlink" xfId="4603" builtinId="9" hidden="1"/>
    <cellStyle name="Followed Hyperlink" xfId="4605" builtinId="9" hidden="1"/>
    <cellStyle name="Followed Hyperlink" xfId="4607" builtinId="9" hidden="1"/>
    <cellStyle name="Followed Hyperlink" xfId="4609" builtinId="9" hidden="1"/>
    <cellStyle name="Followed Hyperlink" xfId="4611" builtinId="9" hidden="1"/>
    <cellStyle name="Followed Hyperlink" xfId="4613" builtinId="9" hidden="1"/>
    <cellStyle name="Followed Hyperlink" xfId="4615" builtinId="9" hidden="1"/>
    <cellStyle name="Followed Hyperlink" xfId="4617" builtinId="9" hidden="1"/>
    <cellStyle name="Followed Hyperlink" xfId="4619" builtinId="9" hidden="1"/>
    <cellStyle name="Followed Hyperlink" xfId="4621" builtinId="9" hidden="1"/>
    <cellStyle name="Followed Hyperlink" xfId="4623" builtinId="9" hidden="1"/>
    <cellStyle name="Followed Hyperlink" xfId="4625" builtinId="9" hidden="1"/>
    <cellStyle name="Followed Hyperlink" xfId="4627" builtinId="9" hidden="1"/>
    <cellStyle name="Followed Hyperlink" xfId="4629" builtinId="9" hidden="1"/>
    <cellStyle name="Followed Hyperlink" xfId="4631" builtinId="9" hidden="1"/>
    <cellStyle name="Followed Hyperlink" xfId="4633" builtinId="9" hidden="1"/>
    <cellStyle name="Followed Hyperlink" xfId="4635" builtinId="9" hidden="1"/>
    <cellStyle name="Followed Hyperlink" xfId="4637" builtinId="9" hidden="1"/>
    <cellStyle name="Followed Hyperlink" xfId="4639" builtinId="9" hidden="1"/>
    <cellStyle name="Followed Hyperlink" xfId="4641" builtinId="9" hidden="1"/>
    <cellStyle name="Followed Hyperlink" xfId="4643" builtinId="9" hidden="1"/>
    <cellStyle name="Followed Hyperlink" xfId="4645" builtinId="9" hidden="1"/>
    <cellStyle name="Followed Hyperlink" xfId="4647" builtinId="9" hidden="1"/>
    <cellStyle name="Followed Hyperlink" xfId="4649" builtinId="9" hidden="1"/>
    <cellStyle name="Followed Hyperlink" xfId="4651" builtinId="9" hidden="1"/>
    <cellStyle name="Followed Hyperlink" xfId="4653" builtinId="9" hidden="1"/>
    <cellStyle name="Followed Hyperlink" xfId="4655" builtinId="9" hidden="1"/>
    <cellStyle name="Followed Hyperlink" xfId="4657" builtinId="9" hidden="1"/>
    <cellStyle name="Followed Hyperlink" xfId="4659" builtinId="9" hidden="1"/>
    <cellStyle name="Followed Hyperlink" xfId="4661" builtinId="9" hidden="1"/>
    <cellStyle name="Followed Hyperlink" xfId="4663" builtinId="9" hidden="1"/>
    <cellStyle name="Followed Hyperlink" xfId="4665" builtinId="9" hidden="1"/>
    <cellStyle name="Followed Hyperlink" xfId="4667" builtinId="9" hidden="1"/>
    <cellStyle name="Followed Hyperlink" xfId="4669" builtinId="9" hidden="1"/>
    <cellStyle name="Followed Hyperlink" xfId="4671" builtinId="9" hidden="1"/>
    <cellStyle name="Followed Hyperlink" xfId="4673" builtinId="9" hidden="1"/>
    <cellStyle name="Followed Hyperlink" xfId="4675" builtinId="9" hidden="1"/>
    <cellStyle name="Followed Hyperlink" xfId="4677" builtinId="9" hidden="1"/>
    <cellStyle name="Followed Hyperlink" xfId="4679" builtinId="9" hidden="1"/>
    <cellStyle name="Followed Hyperlink" xfId="4681" builtinId="9" hidden="1"/>
    <cellStyle name="Followed Hyperlink" xfId="4683" builtinId="9" hidden="1"/>
    <cellStyle name="Followed Hyperlink" xfId="4685" builtinId="9" hidden="1"/>
    <cellStyle name="Followed Hyperlink" xfId="4687" builtinId="9" hidden="1"/>
    <cellStyle name="Followed Hyperlink" xfId="4689" builtinId="9" hidden="1"/>
    <cellStyle name="Followed Hyperlink" xfId="4691" builtinId="9" hidden="1"/>
    <cellStyle name="Followed Hyperlink" xfId="4693" builtinId="9" hidden="1"/>
    <cellStyle name="Followed Hyperlink" xfId="4695" builtinId="9" hidden="1"/>
    <cellStyle name="Followed Hyperlink" xfId="4697" builtinId="9" hidden="1"/>
    <cellStyle name="Followed Hyperlink" xfId="4699" builtinId="9" hidden="1"/>
    <cellStyle name="Followed Hyperlink" xfId="4701" builtinId="9" hidden="1"/>
    <cellStyle name="Followed Hyperlink" xfId="4703" builtinId="9" hidden="1"/>
    <cellStyle name="Followed Hyperlink" xfId="4705" builtinId="9" hidden="1"/>
    <cellStyle name="Followed Hyperlink" xfId="4707" builtinId="9" hidden="1"/>
    <cellStyle name="Followed Hyperlink" xfId="4709" builtinId="9" hidden="1"/>
    <cellStyle name="Followed Hyperlink" xfId="4711" builtinId="9" hidden="1"/>
    <cellStyle name="Followed Hyperlink" xfId="4713" builtinId="9" hidden="1"/>
    <cellStyle name="Followed Hyperlink" xfId="4715" builtinId="9" hidden="1"/>
    <cellStyle name="Followed Hyperlink" xfId="4717" builtinId="9" hidden="1"/>
    <cellStyle name="Followed Hyperlink" xfId="4719" builtinId="9" hidden="1"/>
    <cellStyle name="Followed Hyperlink" xfId="4721" builtinId="9" hidden="1"/>
    <cellStyle name="Followed Hyperlink" xfId="4723" builtinId="9" hidden="1"/>
    <cellStyle name="Followed Hyperlink" xfId="4725" builtinId="9" hidden="1"/>
    <cellStyle name="Followed Hyperlink" xfId="4727" builtinId="9" hidden="1"/>
    <cellStyle name="Followed Hyperlink" xfId="4729" builtinId="9" hidden="1"/>
    <cellStyle name="Followed Hyperlink" xfId="4731" builtinId="9" hidden="1"/>
    <cellStyle name="Followed Hyperlink" xfId="4733" builtinId="9" hidden="1"/>
    <cellStyle name="Followed Hyperlink" xfId="4735" builtinId="9" hidden="1"/>
    <cellStyle name="Followed Hyperlink" xfId="4737" builtinId="9" hidden="1"/>
    <cellStyle name="Followed Hyperlink" xfId="4739" builtinId="9" hidden="1"/>
    <cellStyle name="Followed Hyperlink" xfId="4741" builtinId="9" hidden="1"/>
    <cellStyle name="Followed Hyperlink" xfId="4743" builtinId="9" hidden="1"/>
    <cellStyle name="Followed Hyperlink" xfId="4745" builtinId="9" hidden="1"/>
    <cellStyle name="Followed Hyperlink" xfId="4747" builtinId="9" hidden="1"/>
    <cellStyle name="Followed Hyperlink" xfId="4749" builtinId="9" hidden="1"/>
    <cellStyle name="Followed Hyperlink" xfId="4751" builtinId="9" hidden="1"/>
    <cellStyle name="Followed Hyperlink" xfId="4753" builtinId="9" hidden="1"/>
    <cellStyle name="Followed Hyperlink" xfId="4755" builtinId="9" hidden="1"/>
    <cellStyle name="Followed Hyperlink" xfId="4757" builtinId="9" hidden="1"/>
    <cellStyle name="Followed Hyperlink" xfId="4759" builtinId="9" hidden="1"/>
    <cellStyle name="Followed Hyperlink" xfId="4761" builtinId="9" hidden="1"/>
    <cellStyle name="Followed Hyperlink" xfId="4763" builtinId="9" hidden="1"/>
    <cellStyle name="Followed Hyperlink" xfId="4765" builtinId="9" hidden="1"/>
    <cellStyle name="Followed Hyperlink" xfId="4767" builtinId="9" hidden="1"/>
    <cellStyle name="Followed Hyperlink" xfId="4769" builtinId="9" hidden="1"/>
    <cellStyle name="Followed Hyperlink" xfId="4771" builtinId="9" hidden="1"/>
    <cellStyle name="Followed Hyperlink" xfId="4773" builtinId="9" hidden="1"/>
    <cellStyle name="Followed Hyperlink" xfId="4775" builtinId="9" hidden="1"/>
    <cellStyle name="Followed Hyperlink" xfId="4777" builtinId="9" hidden="1"/>
    <cellStyle name="Followed Hyperlink" xfId="4779" builtinId="9" hidden="1"/>
    <cellStyle name="Followed Hyperlink" xfId="4781" builtinId="9" hidden="1"/>
    <cellStyle name="Followed Hyperlink" xfId="4783" builtinId="9" hidden="1"/>
    <cellStyle name="Followed Hyperlink" xfId="4785" builtinId="9" hidden="1"/>
    <cellStyle name="Followed Hyperlink" xfId="4787" builtinId="9" hidden="1"/>
    <cellStyle name="Followed Hyperlink" xfId="4789" builtinId="9" hidden="1"/>
    <cellStyle name="Followed Hyperlink" xfId="4791" builtinId="9" hidden="1"/>
    <cellStyle name="Followed Hyperlink" xfId="4793" builtinId="9" hidden="1"/>
    <cellStyle name="Followed Hyperlink" xfId="4795" builtinId="9" hidden="1"/>
    <cellStyle name="Followed Hyperlink" xfId="4797" builtinId="9" hidden="1"/>
    <cellStyle name="Followed Hyperlink" xfId="4799" builtinId="9" hidden="1"/>
    <cellStyle name="Followed Hyperlink" xfId="4801" builtinId="9" hidden="1"/>
    <cellStyle name="Followed Hyperlink" xfId="4803" builtinId="9" hidden="1"/>
    <cellStyle name="Followed Hyperlink" xfId="4805" builtinId="9" hidden="1"/>
    <cellStyle name="Followed Hyperlink" xfId="4807" builtinId="9" hidden="1"/>
    <cellStyle name="Followed Hyperlink" xfId="4809" builtinId="9" hidden="1"/>
    <cellStyle name="Followed Hyperlink" xfId="4811" builtinId="9" hidden="1"/>
    <cellStyle name="Followed Hyperlink" xfId="481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Hyperlink" xfId="3654" builtinId="8" hidden="1"/>
    <cellStyle name="Hyperlink" xfId="3656" builtinId="8" hidden="1"/>
    <cellStyle name="Hyperlink" xfId="3658" builtinId="8" hidden="1"/>
    <cellStyle name="Hyperlink" xfId="3660" builtinId="8" hidden="1"/>
    <cellStyle name="Hyperlink" xfId="3662" builtinId="8" hidden="1"/>
    <cellStyle name="Hyperlink" xfId="3664" builtinId="8" hidden="1"/>
    <cellStyle name="Hyperlink" xfId="3666" builtinId="8" hidden="1"/>
    <cellStyle name="Hyperlink" xfId="3668" builtinId="8" hidden="1"/>
    <cellStyle name="Hyperlink" xfId="3670" builtinId="8" hidden="1"/>
    <cellStyle name="Hyperlink" xfId="3672" builtinId="8" hidden="1"/>
    <cellStyle name="Hyperlink" xfId="3674" builtinId="8" hidden="1"/>
    <cellStyle name="Hyperlink" xfId="3676" builtinId="8" hidden="1"/>
    <cellStyle name="Hyperlink" xfId="3678" builtinId="8" hidden="1"/>
    <cellStyle name="Hyperlink" xfId="3680" builtinId="8" hidden="1"/>
    <cellStyle name="Hyperlink" xfId="3682" builtinId="8" hidden="1"/>
    <cellStyle name="Hyperlink" xfId="3684" builtinId="8" hidden="1"/>
    <cellStyle name="Hyperlink" xfId="3686" builtinId="8" hidden="1"/>
    <cellStyle name="Hyperlink" xfId="3688" builtinId="8" hidden="1"/>
    <cellStyle name="Hyperlink" xfId="3690" builtinId="8" hidden="1"/>
    <cellStyle name="Hyperlink" xfId="3692" builtinId="8" hidden="1"/>
    <cellStyle name="Hyperlink" xfId="3694" builtinId="8" hidden="1"/>
    <cellStyle name="Hyperlink" xfId="3696" builtinId="8" hidden="1"/>
    <cellStyle name="Hyperlink" xfId="3698" builtinId="8" hidden="1"/>
    <cellStyle name="Hyperlink" xfId="3700" builtinId="8" hidden="1"/>
    <cellStyle name="Hyperlink" xfId="3702" builtinId="8" hidden="1"/>
    <cellStyle name="Hyperlink" xfId="3704" builtinId="8" hidden="1"/>
    <cellStyle name="Hyperlink" xfId="3706" builtinId="8" hidden="1"/>
    <cellStyle name="Hyperlink" xfId="3708" builtinId="8" hidden="1"/>
    <cellStyle name="Hyperlink" xfId="3710" builtinId="8" hidden="1"/>
    <cellStyle name="Hyperlink" xfId="3712" builtinId="8" hidden="1"/>
    <cellStyle name="Hyperlink" xfId="3714" builtinId="8" hidden="1"/>
    <cellStyle name="Hyperlink" xfId="3716" builtinId="8" hidden="1"/>
    <cellStyle name="Hyperlink" xfId="3718" builtinId="8" hidden="1"/>
    <cellStyle name="Hyperlink" xfId="3720" builtinId="8" hidden="1"/>
    <cellStyle name="Hyperlink" xfId="3722" builtinId="8" hidden="1"/>
    <cellStyle name="Hyperlink" xfId="3724" builtinId="8" hidden="1"/>
    <cellStyle name="Hyperlink" xfId="3726" builtinId="8" hidden="1"/>
    <cellStyle name="Hyperlink" xfId="3728" builtinId="8" hidden="1"/>
    <cellStyle name="Hyperlink" xfId="3730" builtinId="8" hidden="1"/>
    <cellStyle name="Hyperlink" xfId="3732" builtinId="8" hidden="1"/>
    <cellStyle name="Hyperlink" xfId="3734" builtinId="8" hidden="1"/>
    <cellStyle name="Hyperlink" xfId="3736" builtinId="8" hidden="1"/>
    <cellStyle name="Hyperlink" xfId="3738" builtinId="8" hidden="1"/>
    <cellStyle name="Hyperlink" xfId="3740" builtinId="8" hidden="1"/>
    <cellStyle name="Hyperlink" xfId="3742" builtinId="8" hidden="1"/>
    <cellStyle name="Hyperlink" xfId="3744" builtinId="8" hidden="1"/>
    <cellStyle name="Hyperlink" xfId="3746" builtinId="8" hidden="1"/>
    <cellStyle name="Hyperlink" xfId="3748" builtinId="8" hidden="1"/>
    <cellStyle name="Hyperlink" xfId="3750" builtinId="8" hidden="1"/>
    <cellStyle name="Hyperlink" xfId="3752" builtinId="8" hidden="1"/>
    <cellStyle name="Hyperlink" xfId="3754" builtinId="8" hidden="1"/>
    <cellStyle name="Hyperlink" xfId="3756" builtinId="8" hidden="1"/>
    <cellStyle name="Hyperlink" xfId="3758" builtinId="8" hidden="1"/>
    <cellStyle name="Hyperlink" xfId="3760" builtinId="8" hidden="1"/>
    <cellStyle name="Hyperlink" xfId="3762" builtinId="8" hidden="1"/>
    <cellStyle name="Hyperlink" xfId="3764" builtinId="8" hidden="1"/>
    <cellStyle name="Hyperlink" xfId="3766" builtinId="8" hidden="1"/>
    <cellStyle name="Hyperlink" xfId="3768" builtinId="8" hidden="1"/>
    <cellStyle name="Hyperlink" xfId="3770" builtinId="8" hidden="1"/>
    <cellStyle name="Hyperlink" xfId="3772" builtinId="8" hidden="1"/>
    <cellStyle name="Hyperlink" xfId="3774" builtinId="8" hidden="1"/>
    <cellStyle name="Hyperlink" xfId="3776" builtinId="8" hidden="1"/>
    <cellStyle name="Hyperlink" xfId="3778" builtinId="8" hidden="1"/>
    <cellStyle name="Hyperlink" xfId="3780" builtinId="8" hidden="1"/>
    <cellStyle name="Hyperlink" xfId="3782" builtinId="8" hidden="1"/>
    <cellStyle name="Hyperlink" xfId="3784" builtinId="8" hidden="1"/>
    <cellStyle name="Hyperlink" xfId="3786" builtinId="8" hidden="1"/>
    <cellStyle name="Hyperlink" xfId="3788" builtinId="8" hidden="1"/>
    <cellStyle name="Hyperlink" xfId="3790" builtinId="8" hidden="1"/>
    <cellStyle name="Hyperlink" xfId="3792" builtinId="8" hidden="1"/>
    <cellStyle name="Hyperlink" xfId="3794" builtinId="8" hidden="1"/>
    <cellStyle name="Hyperlink" xfId="3796" builtinId="8" hidden="1"/>
    <cellStyle name="Hyperlink" xfId="3798" builtinId="8" hidden="1"/>
    <cellStyle name="Hyperlink" xfId="3800" builtinId="8" hidden="1"/>
    <cellStyle name="Hyperlink" xfId="3802" builtinId="8" hidden="1"/>
    <cellStyle name="Hyperlink" xfId="3804" builtinId="8" hidden="1"/>
    <cellStyle name="Hyperlink" xfId="3806" builtinId="8" hidden="1"/>
    <cellStyle name="Hyperlink" xfId="3808" builtinId="8" hidden="1"/>
    <cellStyle name="Hyperlink" xfId="3810" builtinId="8" hidden="1"/>
    <cellStyle name="Hyperlink" xfId="3812" builtinId="8" hidden="1"/>
    <cellStyle name="Hyperlink" xfId="3814" builtinId="8" hidden="1"/>
    <cellStyle name="Hyperlink" xfId="3816" builtinId="8" hidden="1"/>
    <cellStyle name="Hyperlink" xfId="3818" builtinId="8" hidden="1"/>
    <cellStyle name="Hyperlink" xfId="3820" builtinId="8" hidden="1"/>
    <cellStyle name="Hyperlink" xfId="3822" builtinId="8" hidden="1"/>
    <cellStyle name="Hyperlink" xfId="3824" builtinId="8" hidden="1"/>
    <cellStyle name="Hyperlink" xfId="3826" builtinId="8" hidden="1"/>
    <cellStyle name="Hyperlink" xfId="3828" builtinId="8" hidden="1"/>
    <cellStyle name="Hyperlink" xfId="3830" builtinId="8" hidden="1"/>
    <cellStyle name="Hyperlink" xfId="3832" builtinId="8" hidden="1"/>
    <cellStyle name="Hyperlink" xfId="3834" builtinId="8" hidden="1"/>
    <cellStyle name="Hyperlink" xfId="3836" builtinId="8" hidden="1"/>
    <cellStyle name="Hyperlink" xfId="3838" builtinId="8" hidden="1"/>
    <cellStyle name="Hyperlink" xfId="3840" builtinId="8" hidden="1"/>
    <cellStyle name="Hyperlink" xfId="3842" builtinId="8" hidden="1"/>
    <cellStyle name="Hyperlink" xfId="3844" builtinId="8" hidden="1"/>
    <cellStyle name="Hyperlink" xfId="3846" builtinId="8" hidden="1"/>
    <cellStyle name="Hyperlink" xfId="3848" builtinId="8" hidden="1"/>
    <cellStyle name="Hyperlink" xfId="3850" builtinId="8" hidden="1"/>
    <cellStyle name="Hyperlink" xfId="3852" builtinId="8" hidden="1"/>
    <cellStyle name="Hyperlink" xfId="3854" builtinId="8" hidden="1"/>
    <cellStyle name="Hyperlink" xfId="3856" builtinId="8" hidden="1"/>
    <cellStyle name="Hyperlink" xfId="3858" builtinId="8" hidden="1"/>
    <cellStyle name="Hyperlink" xfId="3860" builtinId="8" hidden="1"/>
    <cellStyle name="Hyperlink" xfId="3862" builtinId="8" hidden="1"/>
    <cellStyle name="Hyperlink" xfId="3864" builtinId="8" hidden="1"/>
    <cellStyle name="Hyperlink" xfId="3866" builtinId="8" hidden="1"/>
    <cellStyle name="Hyperlink" xfId="3868" builtinId="8" hidden="1"/>
    <cellStyle name="Hyperlink" xfId="3870" builtinId="8" hidden="1"/>
    <cellStyle name="Hyperlink" xfId="3872" builtinId="8" hidden="1"/>
    <cellStyle name="Hyperlink" xfId="3874" builtinId="8" hidden="1"/>
    <cellStyle name="Hyperlink" xfId="3876" builtinId="8" hidden="1"/>
    <cellStyle name="Hyperlink" xfId="3878" builtinId="8" hidden="1"/>
    <cellStyle name="Hyperlink" xfId="3880" builtinId="8" hidden="1"/>
    <cellStyle name="Hyperlink" xfId="3882" builtinId="8" hidden="1"/>
    <cellStyle name="Hyperlink" xfId="3884" builtinId="8" hidden="1"/>
    <cellStyle name="Hyperlink" xfId="3886" builtinId="8" hidden="1"/>
    <cellStyle name="Hyperlink" xfId="3888" builtinId="8" hidden="1"/>
    <cellStyle name="Hyperlink" xfId="3890" builtinId="8" hidden="1"/>
    <cellStyle name="Hyperlink" xfId="3892" builtinId="8" hidden="1"/>
    <cellStyle name="Hyperlink" xfId="3894" builtinId="8" hidden="1"/>
    <cellStyle name="Hyperlink" xfId="3896" builtinId="8" hidden="1"/>
    <cellStyle name="Hyperlink" xfId="3898" builtinId="8" hidden="1"/>
    <cellStyle name="Hyperlink" xfId="3900" builtinId="8" hidden="1"/>
    <cellStyle name="Hyperlink" xfId="3902" builtinId="8" hidden="1"/>
    <cellStyle name="Hyperlink" xfId="3904" builtinId="8" hidden="1"/>
    <cellStyle name="Hyperlink" xfId="3906" builtinId="8" hidden="1"/>
    <cellStyle name="Hyperlink" xfId="3908" builtinId="8" hidden="1"/>
    <cellStyle name="Hyperlink" xfId="3910" builtinId="8" hidden="1"/>
    <cellStyle name="Hyperlink" xfId="3912" builtinId="8" hidden="1"/>
    <cellStyle name="Hyperlink" xfId="3914" builtinId="8" hidden="1"/>
    <cellStyle name="Hyperlink" xfId="3916" builtinId="8" hidden="1"/>
    <cellStyle name="Hyperlink" xfId="3918" builtinId="8" hidden="1"/>
    <cellStyle name="Hyperlink" xfId="3920" builtinId="8" hidden="1"/>
    <cellStyle name="Hyperlink" xfId="3922" builtinId="8" hidden="1"/>
    <cellStyle name="Hyperlink" xfId="3924" builtinId="8" hidden="1"/>
    <cellStyle name="Hyperlink" xfId="3926" builtinId="8" hidden="1"/>
    <cellStyle name="Hyperlink" xfId="3928" builtinId="8" hidden="1"/>
    <cellStyle name="Hyperlink" xfId="3930" builtinId="8" hidden="1"/>
    <cellStyle name="Hyperlink" xfId="3932" builtinId="8" hidden="1"/>
    <cellStyle name="Hyperlink" xfId="3934" builtinId="8" hidden="1"/>
    <cellStyle name="Hyperlink" xfId="3936" builtinId="8" hidden="1"/>
    <cellStyle name="Hyperlink" xfId="3938" builtinId="8" hidden="1"/>
    <cellStyle name="Hyperlink" xfId="3940" builtinId="8" hidden="1"/>
    <cellStyle name="Hyperlink" xfId="3942" builtinId="8" hidden="1"/>
    <cellStyle name="Hyperlink" xfId="3944" builtinId="8" hidden="1"/>
    <cellStyle name="Hyperlink" xfId="3946" builtinId="8" hidden="1"/>
    <cellStyle name="Hyperlink" xfId="3948" builtinId="8" hidden="1"/>
    <cellStyle name="Hyperlink" xfId="3950" builtinId="8" hidden="1"/>
    <cellStyle name="Hyperlink" xfId="3952" builtinId="8" hidden="1"/>
    <cellStyle name="Hyperlink" xfId="3954" builtinId="8" hidden="1"/>
    <cellStyle name="Hyperlink" xfId="3956" builtinId="8" hidden="1"/>
    <cellStyle name="Hyperlink" xfId="3958" builtinId="8" hidden="1"/>
    <cellStyle name="Hyperlink" xfId="3960" builtinId="8" hidden="1"/>
    <cellStyle name="Hyperlink" xfId="3962" builtinId="8" hidden="1"/>
    <cellStyle name="Hyperlink" xfId="3964" builtinId="8" hidden="1"/>
    <cellStyle name="Hyperlink" xfId="3966" builtinId="8" hidden="1"/>
    <cellStyle name="Hyperlink" xfId="3968" builtinId="8" hidden="1"/>
    <cellStyle name="Hyperlink" xfId="3970" builtinId="8" hidden="1"/>
    <cellStyle name="Hyperlink" xfId="3972" builtinId="8" hidden="1"/>
    <cellStyle name="Hyperlink" xfId="3974" builtinId="8" hidden="1"/>
    <cellStyle name="Hyperlink" xfId="3976" builtinId="8" hidden="1"/>
    <cellStyle name="Hyperlink" xfId="3978" builtinId="8" hidden="1"/>
    <cellStyle name="Hyperlink" xfId="3980" builtinId="8" hidden="1"/>
    <cellStyle name="Hyperlink" xfId="3982" builtinId="8" hidden="1"/>
    <cellStyle name="Hyperlink" xfId="3984" builtinId="8" hidden="1"/>
    <cellStyle name="Hyperlink" xfId="3986" builtinId="8" hidden="1"/>
    <cellStyle name="Hyperlink" xfId="3988" builtinId="8" hidden="1"/>
    <cellStyle name="Hyperlink" xfId="3990" builtinId="8" hidden="1"/>
    <cellStyle name="Hyperlink" xfId="3992" builtinId="8" hidden="1"/>
    <cellStyle name="Hyperlink" xfId="3994" builtinId="8" hidden="1"/>
    <cellStyle name="Hyperlink" xfId="3996" builtinId="8" hidden="1"/>
    <cellStyle name="Hyperlink" xfId="3998" builtinId="8" hidden="1"/>
    <cellStyle name="Hyperlink" xfId="4000" builtinId="8" hidden="1"/>
    <cellStyle name="Hyperlink" xfId="4002" builtinId="8" hidden="1"/>
    <cellStyle name="Hyperlink" xfId="4004" builtinId="8" hidden="1"/>
    <cellStyle name="Hyperlink" xfId="4006" builtinId="8" hidden="1"/>
    <cellStyle name="Hyperlink" xfId="4008" builtinId="8" hidden="1"/>
    <cellStyle name="Hyperlink" xfId="4010" builtinId="8" hidden="1"/>
    <cellStyle name="Hyperlink" xfId="4012" builtinId="8" hidden="1"/>
    <cellStyle name="Hyperlink" xfId="4014" builtinId="8" hidden="1"/>
    <cellStyle name="Hyperlink" xfId="4016" builtinId="8" hidden="1"/>
    <cellStyle name="Hyperlink" xfId="4018" builtinId="8" hidden="1"/>
    <cellStyle name="Hyperlink" xfId="4020" builtinId="8" hidden="1"/>
    <cellStyle name="Hyperlink" xfId="4022" builtinId="8" hidden="1"/>
    <cellStyle name="Hyperlink" xfId="4024" builtinId="8" hidden="1"/>
    <cellStyle name="Hyperlink" xfId="4026" builtinId="8" hidden="1"/>
    <cellStyle name="Hyperlink" xfId="4028" builtinId="8" hidden="1"/>
    <cellStyle name="Hyperlink" xfId="4030" builtinId="8" hidden="1"/>
    <cellStyle name="Hyperlink" xfId="4032" builtinId="8" hidden="1"/>
    <cellStyle name="Hyperlink" xfId="4034" builtinId="8" hidden="1"/>
    <cellStyle name="Hyperlink" xfId="4036" builtinId="8" hidden="1"/>
    <cellStyle name="Hyperlink" xfId="4038" builtinId="8" hidden="1"/>
    <cellStyle name="Hyperlink" xfId="4040" builtinId="8" hidden="1"/>
    <cellStyle name="Hyperlink" xfId="4042" builtinId="8" hidden="1"/>
    <cellStyle name="Hyperlink" xfId="4044" builtinId="8" hidden="1"/>
    <cellStyle name="Hyperlink" xfId="4046" builtinId="8" hidden="1"/>
    <cellStyle name="Hyperlink" xfId="4048" builtinId="8" hidden="1"/>
    <cellStyle name="Hyperlink" xfId="4050" builtinId="8" hidden="1"/>
    <cellStyle name="Hyperlink" xfId="4052" builtinId="8" hidden="1"/>
    <cellStyle name="Hyperlink" xfId="4054" builtinId="8" hidden="1"/>
    <cellStyle name="Hyperlink" xfId="4056" builtinId="8" hidden="1"/>
    <cellStyle name="Hyperlink" xfId="4058" builtinId="8" hidden="1"/>
    <cellStyle name="Hyperlink" xfId="4060" builtinId="8" hidden="1"/>
    <cellStyle name="Hyperlink" xfId="4062" builtinId="8" hidden="1"/>
    <cellStyle name="Hyperlink" xfId="4064" builtinId="8" hidden="1"/>
    <cellStyle name="Hyperlink" xfId="4066" builtinId="8" hidden="1"/>
    <cellStyle name="Hyperlink" xfId="4068" builtinId="8" hidden="1"/>
    <cellStyle name="Hyperlink" xfId="4070" builtinId="8" hidden="1"/>
    <cellStyle name="Hyperlink" xfId="4072" builtinId="8" hidden="1"/>
    <cellStyle name="Hyperlink" xfId="4074" builtinId="8" hidden="1"/>
    <cellStyle name="Hyperlink" xfId="4076" builtinId="8" hidden="1"/>
    <cellStyle name="Hyperlink" xfId="4078" builtinId="8" hidden="1"/>
    <cellStyle name="Hyperlink" xfId="4080" builtinId="8" hidden="1"/>
    <cellStyle name="Hyperlink" xfId="4082" builtinId="8" hidden="1"/>
    <cellStyle name="Hyperlink" xfId="4084" builtinId="8" hidden="1"/>
    <cellStyle name="Hyperlink" xfId="4086" builtinId="8" hidden="1"/>
    <cellStyle name="Hyperlink" xfId="4088" builtinId="8" hidden="1"/>
    <cellStyle name="Hyperlink" xfId="4090" builtinId="8" hidden="1"/>
    <cellStyle name="Hyperlink" xfId="4092" builtinId="8" hidden="1"/>
    <cellStyle name="Hyperlink" xfId="4094" builtinId="8" hidden="1"/>
    <cellStyle name="Hyperlink" xfId="4096" builtinId="8" hidden="1"/>
    <cellStyle name="Hyperlink" xfId="4098" builtinId="8" hidden="1"/>
    <cellStyle name="Hyperlink" xfId="4100" builtinId="8" hidden="1"/>
    <cellStyle name="Hyperlink" xfId="4102" builtinId="8" hidden="1"/>
    <cellStyle name="Hyperlink" xfId="4104" builtinId="8" hidden="1"/>
    <cellStyle name="Hyperlink" xfId="4106" builtinId="8" hidden="1"/>
    <cellStyle name="Hyperlink" xfId="4108" builtinId="8" hidden="1"/>
    <cellStyle name="Hyperlink" xfId="4110" builtinId="8" hidden="1"/>
    <cellStyle name="Hyperlink" xfId="4112" builtinId="8" hidden="1"/>
    <cellStyle name="Hyperlink" xfId="4114" builtinId="8" hidden="1"/>
    <cellStyle name="Hyperlink" xfId="4116" builtinId="8" hidden="1"/>
    <cellStyle name="Hyperlink" xfId="4118" builtinId="8" hidden="1"/>
    <cellStyle name="Hyperlink" xfId="4120" builtinId="8" hidden="1"/>
    <cellStyle name="Hyperlink" xfId="4122" builtinId="8" hidden="1"/>
    <cellStyle name="Hyperlink" xfId="4124" builtinId="8" hidden="1"/>
    <cellStyle name="Hyperlink" xfId="4126" builtinId="8" hidden="1"/>
    <cellStyle name="Hyperlink" xfId="4128" builtinId="8" hidden="1"/>
    <cellStyle name="Hyperlink" xfId="4130" builtinId="8" hidden="1"/>
    <cellStyle name="Hyperlink" xfId="4132" builtinId="8" hidden="1"/>
    <cellStyle name="Hyperlink" xfId="4134" builtinId="8" hidden="1"/>
    <cellStyle name="Hyperlink" xfId="4136" builtinId="8" hidden="1"/>
    <cellStyle name="Hyperlink" xfId="4138" builtinId="8" hidden="1"/>
    <cellStyle name="Hyperlink" xfId="4140" builtinId="8" hidden="1"/>
    <cellStyle name="Hyperlink" xfId="4142" builtinId="8" hidden="1"/>
    <cellStyle name="Hyperlink" xfId="4144" builtinId="8" hidden="1"/>
    <cellStyle name="Hyperlink" xfId="4146" builtinId="8" hidden="1"/>
    <cellStyle name="Hyperlink" xfId="4148" builtinId="8" hidden="1"/>
    <cellStyle name="Hyperlink" xfId="4150" builtinId="8" hidden="1"/>
    <cellStyle name="Hyperlink" xfId="4152" builtinId="8" hidden="1"/>
    <cellStyle name="Hyperlink" xfId="4154" builtinId="8" hidden="1"/>
    <cellStyle name="Hyperlink" xfId="4156" builtinId="8" hidden="1"/>
    <cellStyle name="Hyperlink" xfId="4158" builtinId="8" hidden="1"/>
    <cellStyle name="Hyperlink" xfId="4160" builtinId="8" hidden="1"/>
    <cellStyle name="Hyperlink" xfId="4162" builtinId="8" hidden="1"/>
    <cellStyle name="Hyperlink" xfId="4164" builtinId="8" hidden="1"/>
    <cellStyle name="Hyperlink" xfId="4166" builtinId="8" hidden="1"/>
    <cellStyle name="Hyperlink" xfId="4168" builtinId="8" hidden="1"/>
    <cellStyle name="Hyperlink" xfId="4170" builtinId="8" hidden="1"/>
    <cellStyle name="Hyperlink" xfId="4172" builtinId="8" hidden="1"/>
    <cellStyle name="Hyperlink" xfId="4174" builtinId="8" hidden="1"/>
    <cellStyle name="Hyperlink" xfId="4176" builtinId="8" hidden="1"/>
    <cellStyle name="Hyperlink" xfId="4178" builtinId="8" hidden="1"/>
    <cellStyle name="Hyperlink" xfId="4180" builtinId="8" hidden="1"/>
    <cellStyle name="Hyperlink" xfId="4182" builtinId="8" hidden="1"/>
    <cellStyle name="Hyperlink" xfId="4184" builtinId="8" hidden="1"/>
    <cellStyle name="Hyperlink" xfId="4186" builtinId="8" hidden="1"/>
    <cellStyle name="Hyperlink" xfId="4188" builtinId="8" hidden="1"/>
    <cellStyle name="Hyperlink" xfId="4190" builtinId="8" hidden="1"/>
    <cellStyle name="Hyperlink" xfId="4192" builtinId="8" hidden="1"/>
    <cellStyle name="Hyperlink" xfId="4194" builtinId="8" hidden="1"/>
    <cellStyle name="Hyperlink" xfId="4196" builtinId="8" hidden="1"/>
    <cellStyle name="Hyperlink" xfId="4198" builtinId="8" hidden="1"/>
    <cellStyle name="Hyperlink" xfId="4200" builtinId="8" hidden="1"/>
    <cellStyle name="Hyperlink" xfId="4202" builtinId="8" hidden="1"/>
    <cellStyle name="Hyperlink" xfId="4204" builtinId="8" hidden="1"/>
    <cellStyle name="Hyperlink" xfId="4206" builtinId="8" hidden="1"/>
    <cellStyle name="Hyperlink" xfId="4208" builtinId="8" hidden="1"/>
    <cellStyle name="Hyperlink" xfId="4210" builtinId="8" hidden="1"/>
    <cellStyle name="Hyperlink" xfId="4212" builtinId="8" hidden="1"/>
    <cellStyle name="Hyperlink" xfId="4214" builtinId="8" hidden="1"/>
    <cellStyle name="Hyperlink" xfId="4216" builtinId="8" hidden="1"/>
    <cellStyle name="Hyperlink" xfId="4218" builtinId="8" hidden="1"/>
    <cellStyle name="Hyperlink" xfId="4220" builtinId="8" hidden="1"/>
    <cellStyle name="Hyperlink" xfId="4222" builtinId="8" hidden="1"/>
    <cellStyle name="Hyperlink" xfId="4224" builtinId="8" hidden="1"/>
    <cellStyle name="Hyperlink" xfId="4226" builtinId="8" hidden="1"/>
    <cellStyle name="Hyperlink" xfId="4228" builtinId="8" hidden="1"/>
    <cellStyle name="Hyperlink" xfId="4230" builtinId="8" hidden="1"/>
    <cellStyle name="Hyperlink" xfId="4232" builtinId="8" hidden="1"/>
    <cellStyle name="Hyperlink" xfId="4234" builtinId="8" hidden="1"/>
    <cellStyle name="Hyperlink" xfId="4236" builtinId="8" hidden="1"/>
    <cellStyle name="Hyperlink" xfId="4238" builtinId="8" hidden="1"/>
    <cellStyle name="Hyperlink" xfId="4240" builtinId="8" hidden="1"/>
    <cellStyle name="Hyperlink" xfId="4242" builtinId="8" hidden="1"/>
    <cellStyle name="Hyperlink" xfId="4244" builtinId="8" hidden="1"/>
    <cellStyle name="Hyperlink" xfId="4246" builtinId="8" hidden="1"/>
    <cellStyle name="Hyperlink" xfId="4248" builtinId="8" hidden="1"/>
    <cellStyle name="Hyperlink" xfId="4250" builtinId="8" hidden="1"/>
    <cellStyle name="Hyperlink" xfId="4252" builtinId="8" hidden="1"/>
    <cellStyle name="Hyperlink" xfId="4254" builtinId="8" hidden="1"/>
    <cellStyle name="Hyperlink" xfId="4256" builtinId="8" hidden="1"/>
    <cellStyle name="Hyperlink" xfId="4258" builtinId="8" hidden="1"/>
    <cellStyle name="Hyperlink" xfId="4260" builtinId="8" hidden="1"/>
    <cellStyle name="Hyperlink" xfId="4262" builtinId="8" hidden="1"/>
    <cellStyle name="Hyperlink" xfId="4264" builtinId="8" hidden="1"/>
    <cellStyle name="Hyperlink" xfId="4266" builtinId="8" hidden="1"/>
    <cellStyle name="Hyperlink" xfId="4268" builtinId="8" hidden="1"/>
    <cellStyle name="Hyperlink" xfId="4270" builtinId="8" hidden="1"/>
    <cellStyle name="Hyperlink" xfId="4272" builtinId="8" hidden="1"/>
    <cellStyle name="Hyperlink" xfId="4274" builtinId="8" hidden="1"/>
    <cellStyle name="Hyperlink" xfId="4276" builtinId="8" hidden="1"/>
    <cellStyle name="Hyperlink" xfId="4278" builtinId="8" hidden="1"/>
    <cellStyle name="Hyperlink" xfId="4280" builtinId="8" hidden="1"/>
    <cellStyle name="Hyperlink" xfId="4282" builtinId="8" hidden="1"/>
    <cellStyle name="Hyperlink" xfId="4284" builtinId="8" hidden="1"/>
    <cellStyle name="Hyperlink" xfId="4286" builtinId="8" hidden="1"/>
    <cellStyle name="Hyperlink" xfId="4288" builtinId="8" hidden="1"/>
    <cellStyle name="Hyperlink" xfId="4290" builtinId="8" hidden="1"/>
    <cellStyle name="Hyperlink" xfId="4292" builtinId="8" hidden="1"/>
    <cellStyle name="Hyperlink" xfId="4294" builtinId="8" hidden="1"/>
    <cellStyle name="Hyperlink" xfId="4296" builtinId="8" hidden="1"/>
    <cellStyle name="Hyperlink" xfId="4298" builtinId="8" hidden="1"/>
    <cellStyle name="Hyperlink" xfId="4300" builtinId="8" hidden="1"/>
    <cellStyle name="Hyperlink" xfId="4302" builtinId="8" hidden="1"/>
    <cellStyle name="Hyperlink" xfId="4304" builtinId="8" hidden="1"/>
    <cellStyle name="Hyperlink" xfId="4306" builtinId="8" hidden="1"/>
    <cellStyle name="Hyperlink" xfId="4308" builtinId="8" hidden="1"/>
    <cellStyle name="Hyperlink" xfId="4310" builtinId="8" hidden="1"/>
    <cellStyle name="Hyperlink" xfId="4312" builtinId="8" hidden="1"/>
    <cellStyle name="Hyperlink" xfId="4314" builtinId="8" hidden="1"/>
    <cellStyle name="Hyperlink" xfId="4316" builtinId="8" hidden="1"/>
    <cellStyle name="Hyperlink" xfId="4318" builtinId="8" hidden="1"/>
    <cellStyle name="Hyperlink" xfId="4320" builtinId="8" hidden="1"/>
    <cellStyle name="Hyperlink" xfId="4322" builtinId="8" hidden="1"/>
    <cellStyle name="Hyperlink" xfId="4324" builtinId="8" hidden="1"/>
    <cellStyle name="Hyperlink" xfId="4326" builtinId="8" hidden="1"/>
    <cellStyle name="Hyperlink" xfId="4328" builtinId="8" hidden="1"/>
    <cellStyle name="Hyperlink" xfId="4330" builtinId="8" hidden="1"/>
    <cellStyle name="Hyperlink" xfId="4332" builtinId="8" hidden="1"/>
    <cellStyle name="Hyperlink" xfId="4334" builtinId="8" hidden="1"/>
    <cellStyle name="Hyperlink" xfId="4336" builtinId="8" hidden="1"/>
    <cellStyle name="Hyperlink" xfId="4338" builtinId="8" hidden="1"/>
    <cellStyle name="Hyperlink" xfId="4340" builtinId="8" hidden="1"/>
    <cellStyle name="Hyperlink" xfId="4342" builtinId="8" hidden="1"/>
    <cellStyle name="Hyperlink" xfId="4344" builtinId="8" hidden="1"/>
    <cellStyle name="Hyperlink" xfId="4346" builtinId="8" hidden="1"/>
    <cellStyle name="Hyperlink" xfId="4348" builtinId="8" hidden="1"/>
    <cellStyle name="Hyperlink" xfId="4350" builtinId="8" hidden="1"/>
    <cellStyle name="Hyperlink" xfId="4352" builtinId="8" hidden="1"/>
    <cellStyle name="Hyperlink" xfId="4354" builtinId="8" hidden="1"/>
    <cellStyle name="Hyperlink" xfId="4356" builtinId="8" hidden="1"/>
    <cellStyle name="Hyperlink" xfId="4358" builtinId="8" hidden="1"/>
    <cellStyle name="Hyperlink" xfId="4360" builtinId="8" hidden="1"/>
    <cellStyle name="Hyperlink" xfId="4362" builtinId="8" hidden="1"/>
    <cellStyle name="Hyperlink" xfId="4364" builtinId="8" hidden="1"/>
    <cellStyle name="Hyperlink" xfId="4366" builtinId="8" hidden="1"/>
    <cellStyle name="Hyperlink" xfId="4368" builtinId="8" hidden="1"/>
    <cellStyle name="Hyperlink" xfId="4370" builtinId="8" hidden="1"/>
    <cellStyle name="Hyperlink" xfId="4372" builtinId="8" hidden="1"/>
    <cellStyle name="Hyperlink" xfId="4374" builtinId="8" hidden="1"/>
    <cellStyle name="Hyperlink" xfId="4376" builtinId="8" hidden="1"/>
    <cellStyle name="Hyperlink" xfId="4378" builtinId="8" hidden="1"/>
    <cellStyle name="Hyperlink" xfId="4380" builtinId="8" hidden="1"/>
    <cellStyle name="Hyperlink" xfId="4382" builtinId="8" hidden="1"/>
    <cellStyle name="Hyperlink" xfId="4384" builtinId="8" hidden="1"/>
    <cellStyle name="Hyperlink" xfId="4386" builtinId="8" hidden="1"/>
    <cellStyle name="Hyperlink" xfId="4388" builtinId="8" hidden="1"/>
    <cellStyle name="Hyperlink" xfId="4390" builtinId="8" hidden="1"/>
    <cellStyle name="Hyperlink" xfId="4392" builtinId="8" hidden="1"/>
    <cellStyle name="Hyperlink" xfId="4394" builtinId="8" hidden="1"/>
    <cellStyle name="Hyperlink" xfId="4396" builtinId="8" hidden="1"/>
    <cellStyle name="Hyperlink" xfId="4398" builtinId="8" hidden="1"/>
    <cellStyle name="Hyperlink" xfId="4400" builtinId="8" hidden="1"/>
    <cellStyle name="Hyperlink" xfId="4402" builtinId="8" hidden="1"/>
    <cellStyle name="Hyperlink" xfId="4404" builtinId="8" hidden="1"/>
    <cellStyle name="Hyperlink" xfId="4406" builtinId="8" hidden="1"/>
    <cellStyle name="Hyperlink" xfId="4408" builtinId="8" hidden="1"/>
    <cellStyle name="Hyperlink" xfId="4410" builtinId="8" hidden="1"/>
    <cellStyle name="Hyperlink" xfId="4412" builtinId="8" hidden="1"/>
    <cellStyle name="Hyperlink" xfId="4414" builtinId="8" hidden="1"/>
    <cellStyle name="Hyperlink" xfId="4416" builtinId="8" hidden="1"/>
    <cellStyle name="Hyperlink" xfId="4418" builtinId="8" hidden="1"/>
    <cellStyle name="Hyperlink" xfId="4420" builtinId="8" hidden="1"/>
    <cellStyle name="Hyperlink" xfId="4422" builtinId="8" hidden="1"/>
    <cellStyle name="Hyperlink" xfId="4424" builtinId="8" hidden="1"/>
    <cellStyle name="Hyperlink" xfId="4426" builtinId="8" hidden="1"/>
    <cellStyle name="Hyperlink" xfId="4428" builtinId="8" hidden="1"/>
    <cellStyle name="Hyperlink" xfId="4430" builtinId="8" hidden="1"/>
    <cellStyle name="Hyperlink" xfId="4432" builtinId="8" hidden="1"/>
    <cellStyle name="Hyperlink" xfId="4434" builtinId="8" hidden="1"/>
    <cellStyle name="Hyperlink" xfId="4436" builtinId="8" hidden="1"/>
    <cellStyle name="Hyperlink" xfId="4438" builtinId="8" hidden="1"/>
    <cellStyle name="Hyperlink" xfId="4440" builtinId="8" hidden="1"/>
    <cellStyle name="Hyperlink" xfId="4442" builtinId="8" hidden="1"/>
    <cellStyle name="Hyperlink" xfId="4444" builtinId="8" hidden="1"/>
    <cellStyle name="Hyperlink" xfId="4446" builtinId="8" hidden="1"/>
    <cellStyle name="Hyperlink" xfId="4448" builtinId="8" hidden="1"/>
    <cellStyle name="Hyperlink" xfId="4450" builtinId="8" hidden="1"/>
    <cellStyle name="Hyperlink" xfId="4452" builtinId="8" hidden="1"/>
    <cellStyle name="Hyperlink" xfId="4454" builtinId="8" hidden="1"/>
    <cellStyle name="Hyperlink" xfId="4456" builtinId="8" hidden="1"/>
    <cellStyle name="Hyperlink" xfId="4458" builtinId="8" hidden="1"/>
    <cellStyle name="Hyperlink" xfId="4460" builtinId="8" hidden="1"/>
    <cellStyle name="Hyperlink" xfId="4462" builtinId="8" hidden="1"/>
    <cellStyle name="Hyperlink" xfId="4464" builtinId="8" hidden="1"/>
    <cellStyle name="Hyperlink" xfId="4466" builtinId="8" hidden="1"/>
    <cellStyle name="Hyperlink" xfId="4468" builtinId="8" hidden="1"/>
    <cellStyle name="Hyperlink" xfId="4470" builtinId="8" hidden="1"/>
    <cellStyle name="Hyperlink" xfId="4472" builtinId="8" hidden="1"/>
    <cellStyle name="Hyperlink" xfId="4474" builtinId="8" hidden="1"/>
    <cellStyle name="Hyperlink" xfId="4476" builtinId="8" hidden="1"/>
    <cellStyle name="Hyperlink" xfId="4478" builtinId="8" hidden="1"/>
    <cellStyle name="Hyperlink" xfId="4480" builtinId="8" hidden="1"/>
    <cellStyle name="Hyperlink" xfId="4482" builtinId="8" hidden="1"/>
    <cellStyle name="Hyperlink" xfId="4484" builtinId="8" hidden="1"/>
    <cellStyle name="Hyperlink" xfId="4486" builtinId="8" hidden="1"/>
    <cellStyle name="Hyperlink" xfId="4488" builtinId="8" hidden="1"/>
    <cellStyle name="Hyperlink" xfId="4490" builtinId="8" hidden="1"/>
    <cellStyle name="Hyperlink" xfId="4492" builtinId="8" hidden="1"/>
    <cellStyle name="Hyperlink" xfId="4494" builtinId="8" hidden="1"/>
    <cellStyle name="Hyperlink" xfId="4496" builtinId="8" hidden="1"/>
    <cellStyle name="Hyperlink" xfId="4498" builtinId="8" hidden="1"/>
    <cellStyle name="Hyperlink" xfId="4500" builtinId="8" hidden="1"/>
    <cellStyle name="Hyperlink" xfId="4502" builtinId="8" hidden="1"/>
    <cellStyle name="Hyperlink" xfId="4504" builtinId="8" hidden="1"/>
    <cellStyle name="Hyperlink" xfId="4506" builtinId="8" hidden="1"/>
    <cellStyle name="Hyperlink" xfId="4508" builtinId="8" hidden="1"/>
    <cellStyle name="Hyperlink" xfId="4510" builtinId="8" hidden="1"/>
    <cellStyle name="Hyperlink" xfId="4512" builtinId="8" hidden="1"/>
    <cellStyle name="Hyperlink" xfId="4514" builtinId="8" hidden="1"/>
    <cellStyle name="Hyperlink" xfId="4516" builtinId="8" hidden="1"/>
    <cellStyle name="Hyperlink" xfId="4518" builtinId="8" hidden="1"/>
    <cellStyle name="Hyperlink" xfId="4520" builtinId="8" hidden="1"/>
    <cellStyle name="Hyperlink" xfId="4522" builtinId="8" hidden="1"/>
    <cellStyle name="Hyperlink" xfId="4524" builtinId="8" hidden="1"/>
    <cellStyle name="Hyperlink" xfId="4526" builtinId="8" hidden="1"/>
    <cellStyle name="Hyperlink" xfId="4528" builtinId="8" hidden="1"/>
    <cellStyle name="Hyperlink" xfId="4530" builtinId="8" hidden="1"/>
    <cellStyle name="Hyperlink" xfId="4532" builtinId="8" hidden="1"/>
    <cellStyle name="Hyperlink" xfId="4534" builtinId="8" hidden="1"/>
    <cellStyle name="Hyperlink" xfId="4536" builtinId="8" hidden="1"/>
    <cellStyle name="Hyperlink" xfId="4538" builtinId="8" hidden="1"/>
    <cellStyle name="Hyperlink" xfId="4540" builtinId="8" hidden="1"/>
    <cellStyle name="Hyperlink" xfId="4542" builtinId="8" hidden="1"/>
    <cellStyle name="Hyperlink" xfId="4544" builtinId="8" hidden="1"/>
    <cellStyle name="Hyperlink" xfId="4546" builtinId="8" hidden="1"/>
    <cellStyle name="Hyperlink" xfId="4548" builtinId="8" hidden="1"/>
    <cellStyle name="Hyperlink" xfId="4550" builtinId="8" hidden="1"/>
    <cellStyle name="Hyperlink" xfId="4552" builtinId="8" hidden="1"/>
    <cellStyle name="Hyperlink" xfId="4554" builtinId="8" hidden="1"/>
    <cellStyle name="Hyperlink" xfId="4556" builtinId="8" hidden="1"/>
    <cellStyle name="Hyperlink" xfId="4558" builtinId="8" hidden="1"/>
    <cellStyle name="Hyperlink" xfId="4560" builtinId="8" hidden="1"/>
    <cellStyle name="Hyperlink" xfId="4562" builtinId="8" hidden="1"/>
    <cellStyle name="Hyperlink" xfId="4564" builtinId="8" hidden="1"/>
    <cellStyle name="Hyperlink" xfId="4566" builtinId="8" hidden="1"/>
    <cellStyle name="Hyperlink" xfId="4568" builtinId="8" hidden="1"/>
    <cellStyle name="Hyperlink" xfId="4570" builtinId="8" hidden="1"/>
    <cellStyle name="Hyperlink" xfId="4572" builtinId="8" hidden="1"/>
    <cellStyle name="Hyperlink" xfId="4574" builtinId="8" hidden="1"/>
    <cellStyle name="Hyperlink" xfId="4576" builtinId="8" hidden="1"/>
    <cellStyle name="Hyperlink" xfId="4578" builtinId="8" hidden="1"/>
    <cellStyle name="Hyperlink" xfId="4580" builtinId="8" hidden="1"/>
    <cellStyle name="Hyperlink" xfId="4582" builtinId="8" hidden="1"/>
    <cellStyle name="Hyperlink" xfId="4584" builtinId="8" hidden="1"/>
    <cellStyle name="Hyperlink" xfId="4586" builtinId="8" hidden="1"/>
    <cellStyle name="Hyperlink" xfId="4588" builtinId="8" hidden="1"/>
    <cellStyle name="Hyperlink" xfId="4590" builtinId="8" hidden="1"/>
    <cellStyle name="Hyperlink" xfId="4592" builtinId="8" hidden="1"/>
    <cellStyle name="Hyperlink" xfId="4594" builtinId="8" hidden="1"/>
    <cellStyle name="Hyperlink" xfId="4596" builtinId="8" hidden="1"/>
    <cellStyle name="Hyperlink" xfId="4598" builtinId="8" hidden="1"/>
    <cellStyle name="Hyperlink" xfId="4600" builtinId="8" hidden="1"/>
    <cellStyle name="Hyperlink" xfId="4602" builtinId="8" hidden="1"/>
    <cellStyle name="Hyperlink" xfId="4604" builtinId="8" hidden="1"/>
    <cellStyle name="Hyperlink" xfId="4606" builtinId="8" hidden="1"/>
    <cellStyle name="Hyperlink" xfId="4608" builtinId="8" hidden="1"/>
    <cellStyle name="Hyperlink" xfId="4610" builtinId="8" hidden="1"/>
    <cellStyle name="Hyperlink" xfId="4612" builtinId="8" hidden="1"/>
    <cellStyle name="Hyperlink" xfId="4614" builtinId="8" hidden="1"/>
    <cellStyle name="Hyperlink" xfId="4616" builtinId="8" hidden="1"/>
    <cellStyle name="Hyperlink" xfId="4618" builtinId="8" hidden="1"/>
    <cellStyle name="Hyperlink" xfId="4620" builtinId="8" hidden="1"/>
    <cellStyle name="Hyperlink" xfId="4622" builtinId="8" hidden="1"/>
    <cellStyle name="Hyperlink" xfId="4624" builtinId="8" hidden="1"/>
    <cellStyle name="Hyperlink" xfId="4626" builtinId="8" hidden="1"/>
    <cellStyle name="Hyperlink" xfId="4628" builtinId="8" hidden="1"/>
    <cellStyle name="Hyperlink" xfId="4630" builtinId="8" hidden="1"/>
    <cellStyle name="Hyperlink" xfId="4632" builtinId="8" hidden="1"/>
    <cellStyle name="Hyperlink" xfId="4634" builtinId="8" hidden="1"/>
    <cellStyle name="Hyperlink" xfId="4636" builtinId="8" hidden="1"/>
    <cellStyle name="Hyperlink" xfId="4638" builtinId="8" hidden="1"/>
    <cellStyle name="Hyperlink" xfId="4640" builtinId="8" hidden="1"/>
    <cellStyle name="Hyperlink" xfId="4642" builtinId="8" hidden="1"/>
    <cellStyle name="Hyperlink" xfId="4644" builtinId="8" hidden="1"/>
    <cellStyle name="Hyperlink" xfId="4646" builtinId="8" hidden="1"/>
    <cellStyle name="Hyperlink" xfId="4648" builtinId="8" hidden="1"/>
    <cellStyle name="Hyperlink" xfId="4650" builtinId="8" hidden="1"/>
    <cellStyle name="Hyperlink" xfId="4652" builtinId="8" hidden="1"/>
    <cellStyle name="Hyperlink" xfId="4654" builtinId="8" hidden="1"/>
    <cellStyle name="Hyperlink" xfId="4656" builtinId="8" hidden="1"/>
    <cellStyle name="Hyperlink" xfId="4658" builtinId="8" hidden="1"/>
    <cellStyle name="Hyperlink" xfId="4660" builtinId="8" hidden="1"/>
    <cellStyle name="Hyperlink" xfId="4662" builtinId="8" hidden="1"/>
    <cellStyle name="Hyperlink" xfId="4664" builtinId="8" hidden="1"/>
    <cellStyle name="Hyperlink" xfId="4666" builtinId="8" hidden="1"/>
    <cellStyle name="Hyperlink" xfId="4668" builtinId="8" hidden="1"/>
    <cellStyle name="Hyperlink" xfId="4670" builtinId="8" hidden="1"/>
    <cellStyle name="Hyperlink" xfId="4672" builtinId="8" hidden="1"/>
    <cellStyle name="Hyperlink" xfId="4674" builtinId="8" hidden="1"/>
    <cellStyle name="Hyperlink" xfId="4676" builtinId="8" hidden="1"/>
    <cellStyle name="Hyperlink" xfId="4678" builtinId="8" hidden="1"/>
    <cellStyle name="Hyperlink" xfId="4680" builtinId="8" hidden="1"/>
    <cellStyle name="Hyperlink" xfId="4682" builtinId="8" hidden="1"/>
    <cellStyle name="Hyperlink" xfId="4684" builtinId="8" hidden="1"/>
    <cellStyle name="Hyperlink" xfId="4686" builtinId="8" hidden="1"/>
    <cellStyle name="Hyperlink" xfId="4688" builtinId="8" hidden="1"/>
    <cellStyle name="Hyperlink" xfId="4690" builtinId="8" hidden="1"/>
    <cellStyle name="Hyperlink" xfId="4692" builtinId="8" hidden="1"/>
    <cellStyle name="Hyperlink" xfId="4694" builtinId="8" hidden="1"/>
    <cellStyle name="Hyperlink" xfId="4696" builtinId="8" hidden="1"/>
    <cellStyle name="Hyperlink" xfId="4698" builtinId="8" hidden="1"/>
    <cellStyle name="Hyperlink" xfId="4700" builtinId="8" hidden="1"/>
    <cellStyle name="Hyperlink" xfId="4702" builtinId="8" hidden="1"/>
    <cellStyle name="Hyperlink" xfId="4704" builtinId="8" hidden="1"/>
    <cellStyle name="Hyperlink" xfId="4706" builtinId="8" hidden="1"/>
    <cellStyle name="Hyperlink" xfId="4708" builtinId="8" hidden="1"/>
    <cellStyle name="Hyperlink" xfId="4710" builtinId="8" hidden="1"/>
    <cellStyle name="Hyperlink" xfId="4712" builtinId="8" hidden="1"/>
    <cellStyle name="Hyperlink" xfId="4714" builtinId="8" hidden="1"/>
    <cellStyle name="Hyperlink" xfId="4716" builtinId="8" hidden="1"/>
    <cellStyle name="Hyperlink" xfId="4718" builtinId="8" hidden="1"/>
    <cellStyle name="Hyperlink" xfId="4720" builtinId="8" hidden="1"/>
    <cellStyle name="Hyperlink" xfId="4722" builtinId="8" hidden="1"/>
    <cellStyle name="Hyperlink" xfId="4724" builtinId="8" hidden="1"/>
    <cellStyle name="Hyperlink" xfId="4726" builtinId="8" hidden="1"/>
    <cellStyle name="Hyperlink" xfId="4728" builtinId="8" hidden="1"/>
    <cellStyle name="Hyperlink" xfId="4730" builtinId="8" hidden="1"/>
    <cellStyle name="Hyperlink" xfId="4732" builtinId="8" hidden="1"/>
    <cellStyle name="Hyperlink" xfId="4734" builtinId="8" hidden="1"/>
    <cellStyle name="Hyperlink" xfId="4736" builtinId="8" hidden="1"/>
    <cellStyle name="Hyperlink" xfId="4738" builtinId="8" hidden="1"/>
    <cellStyle name="Hyperlink" xfId="4740" builtinId="8" hidden="1"/>
    <cellStyle name="Hyperlink" xfId="4742" builtinId="8" hidden="1"/>
    <cellStyle name="Hyperlink" xfId="4744" builtinId="8" hidden="1"/>
    <cellStyle name="Hyperlink" xfId="4746" builtinId="8" hidden="1"/>
    <cellStyle name="Hyperlink" xfId="4748" builtinId="8" hidden="1"/>
    <cellStyle name="Hyperlink" xfId="4750" builtinId="8" hidden="1"/>
    <cellStyle name="Hyperlink" xfId="4752" builtinId="8" hidden="1"/>
    <cellStyle name="Hyperlink" xfId="4754" builtinId="8" hidden="1"/>
    <cellStyle name="Hyperlink" xfId="4756" builtinId="8" hidden="1"/>
    <cellStyle name="Hyperlink" xfId="4758" builtinId="8" hidden="1"/>
    <cellStyle name="Hyperlink" xfId="4760" builtinId="8" hidden="1"/>
    <cellStyle name="Hyperlink" xfId="4762" builtinId="8" hidden="1"/>
    <cellStyle name="Hyperlink" xfId="4764" builtinId="8" hidden="1"/>
    <cellStyle name="Hyperlink" xfId="4766" builtinId="8" hidden="1"/>
    <cellStyle name="Hyperlink" xfId="4768" builtinId="8" hidden="1"/>
    <cellStyle name="Hyperlink" xfId="4770" builtinId="8" hidden="1"/>
    <cellStyle name="Hyperlink" xfId="4772" builtinId="8" hidden="1"/>
    <cellStyle name="Hyperlink" xfId="4774" builtinId="8" hidden="1"/>
    <cellStyle name="Hyperlink" xfId="4776" builtinId="8" hidden="1"/>
    <cellStyle name="Hyperlink" xfId="4778" builtinId="8" hidden="1"/>
    <cellStyle name="Hyperlink" xfId="4780" builtinId="8" hidden="1"/>
    <cellStyle name="Hyperlink" xfId="4782" builtinId="8" hidden="1"/>
    <cellStyle name="Hyperlink" xfId="4784" builtinId="8" hidden="1"/>
    <cellStyle name="Hyperlink" xfId="4786" builtinId="8" hidden="1"/>
    <cellStyle name="Hyperlink" xfId="4788" builtinId="8" hidden="1"/>
    <cellStyle name="Hyperlink" xfId="4790" builtinId="8" hidden="1"/>
    <cellStyle name="Hyperlink" xfId="4792" builtinId="8" hidden="1"/>
    <cellStyle name="Hyperlink" xfId="4794" builtinId="8" hidden="1"/>
    <cellStyle name="Hyperlink" xfId="4796" builtinId="8" hidden="1"/>
    <cellStyle name="Hyperlink" xfId="4798" builtinId="8" hidden="1"/>
    <cellStyle name="Hyperlink" xfId="4800" builtinId="8" hidden="1"/>
    <cellStyle name="Hyperlink" xfId="4802" builtinId="8" hidden="1"/>
    <cellStyle name="Hyperlink" xfId="4804" builtinId="8" hidden="1"/>
    <cellStyle name="Hyperlink" xfId="4806" builtinId="8" hidden="1"/>
    <cellStyle name="Hyperlink" xfId="4808" builtinId="8" hidden="1"/>
    <cellStyle name="Hyperlink" xfId="4810" builtinId="8" hidden="1"/>
    <cellStyle name="Hyperlink" xfId="4812" builtinId="8" hidden="1"/>
    <cellStyle name="Normal" xfId="0" builtinId="0"/>
    <cellStyle name="Percent" xfId="337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38100</xdr:rowOff>
        </xdr:from>
        <xdr:to>
          <xdr:col>3</xdr:col>
          <xdr:colOff>0</xdr:colOff>
          <xdr:row>4</xdr:row>
          <xdr:rowOff>139700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Add 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10</xdr:row>
          <xdr:rowOff>127000</xdr:rowOff>
        </xdr:from>
        <xdr:to>
          <xdr:col>3</xdr:col>
          <xdr:colOff>12700</xdr:colOff>
          <xdr:row>16</xdr:row>
          <xdr:rowOff>139700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Clear entry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5</xdr:row>
          <xdr:rowOff>127000</xdr:rowOff>
        </xdr:from>
        <xdr:to>
          <xdr:col>3</xdr:col>
          <xdr:colOff>0</xdr:colOff>
          <xdr:row>9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Sort Expenses by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10</xdr:row>
          <xdr:rowOff>114300</xdr:rowOff>
        </xdr:from>
        <xdr:to>
          <xdr:col>4</xdr:col>
          <xdr:colOff>698500</xdr:colOff>
          <xdr:row>17</xdr:row>
          <xdr:rowOff>12700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Delete Last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18</xdr:row>
          <xdr:rowOff>152400</xdr:rowOff>
        </xdr:from>
        <xdr:to>
          <xdr:col>2</xdr:col>
          <xdr:colOff>495300</xdr:colOff>
          <xdr:row>21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Finance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Finance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M599"/>
  <sheetViews>
    <sheetView tabSelected="1" showRuler="0" workbookViewId="0">
      <selection activeCell="K50" sqref="K50"/>
    </sheetView>
  </sheetViews>
  <sheetFormatPr baseColWidth="10" defaultRowHeight="15" x14ac:dyDescent="0"/>
  <cols>
    <col min="4" max="4" width="12.83203125" bestFit="1" customWidth="1"/>
    <col min="6" max="6" width="16.83203125" customWidth="1"/>
    <col min="7" max="7" width="22" customWidth="1"/>
    <col min="8" max="8" width="14.1640625" bestFit="1" customWidth="1"/>
    <col min="9" max="9" width="15.1640625" bestFit="1" customWidth="1"/>
    <col min="10" max="10" width="13.6640625" customWidth="1"/>
    <col min="11" max="11" width="21.6640625" bestFit="1" customWidth="1"/>
    <col min="12" max="12" width="17.6640625" customWidth="1"/>
    <col min="13" max="13" width="20.83203125" bestFit="1" customWidth="1"/>
  </cols>
  <sheetData>
    <row r="1" spans="6:11">
      <c r="F1" s="3" t="s">
        <v>9</v>
      </c>
      <c r="K1" s="3" t="s">
        <v>11</v>
      </c>
    </row>
    <row r="2" spans="6:11">
      <c r="F2" s="15" t="s">
        <v>4</v>
      </c>
      <c r="K2" s="15" t="s">
        <v>53</v>
      </c>
    </row>
    <row r="3" spans="6:11">
      <c r="F3" s="15" t="s">
        <v>14</v>
      </c>
      <c r="K3" s="15" t="s">
        <v>36</v>
      </c>
    </row>
    <row r="4" spans="6:11">
      <c r="F4" s="15" t="s">
        <v>7</v>
      </c>
      <c r="H4" s="5"/>
      <c r="K4" s="15" t="s">
        <v>8</v>
      </c>
    </row>
    <row r="5" spans="6:11">
      <c r="F5" s="15" t="s">
        <v>23</v>
      </c>
      <c r="K5" s="15" t="s">
        <v>18</v>
      </c>
    </row>
    <row r="6" spans="6:11">
      <c r="F6" s="15" t="s">
        <v>32</v>
      </c>
      <c r="K6" s="15" t="s">
        <v>10</v>
      </c>
    </row>
    <row r="7" spans="6:11">
      <c r="F7" s="15" t="s">
        <v>24</v>
      </c>
    </row>
    <row r="8" spans="6:11">
      <c r="F8" s="15" t="s">
        <v>44</v>
      </c>
    </row>
    <row r="9" spans="6:11">
      <c r="F9" s="15" t="s">
        <v>16</v>
      </c>
    </row>
    <row r="10" spans="6:11">
      <c r="F10" s="15" t="s">
        <v>15</v>
      </c>
    </row>
    <row r="11" spans="6:11">
      <c r="F11" s="15" t="s">
        <v>17</v>
      </c>
    </row>
    <row r="12" spans="6:11">
      <c r="F12" s="15" t="s">
        <v>25</v>
      </c>
    </row>
    <row r="16" spans="6:11">
      <c r="F16" s="3" t="s">
        <v>46</v>
      </c>
      <c r="G16" s="3" t="s">
        <v>38</v>
      </c>
      <c r="H16" s="3" t="s">
        <v>8</v>
      </c>
      <c r="I16" s="3" t="s">
        <v>37</v>
      </c>
      <c r="J16" s="3" t="s">
        <v>40</v>
      </c>
    </row>
    <row r="17" spans="2:12">
      <c r="G17" s="15">
        <v>1511.77</v>
      </c>
      <c r="H17" s="15">
        <v>-26</v>
      </c>
      <c r="I17" s="15">
        <v>-20</v>
      </c>
      <c r="J17" s="15">
        <f>SUM(G17:I17)</f>
        <v>1465.77</v>
      </c>
    </row>
    <row r="20" spans="2:12">
      <c r="B20" t="s">
        <v>19</v>
      </c>
      <c r="D20" s="3" t="s">
        <v>42</v>
      </c>
      <c r="E20" s="3" t="s">
        <v>41</v>
      </c>
      <c r="F20" s="3" t="s">
        <v>6</v>
      </c>
      <c r="H20" s="25"/>
    </row>
    <row r="21" spans="2:12">
      <c r="B21" t="s">
        <v>43</v>
      </c>
      <c r="D21" s="15" t="s">
        <v>4</v>
      </c>
      <c r="E21" s="15" t="s">
        <v>24</v>
      </c>
      <c r="F21" s="15">
        <v>30</v>
      </c>
    </row>
    <row r="23" spans="2:12">
      <c r="D23" s="3" t="s">
        <v>4</v>
      </c>
      <c r="E23" s="3" t="s">
        <v>7</v>
      </c>
      <c r="F23" s="3" t="s">
        <v>23</v>
      </c>
      <c r="G23" s="3" t="s">
        <v>14</v>
      </c>
      <c r="H23" s="3" t="s">
        <v>24</v>
      </c>
      <c r="I23" s="3" t="s">
        <v>26</v>
      </c>
      <c r="J23" s="3" t="s">
        <v>44</v>
      </c>
      <c r="K23" s="17" t="s">
        <v>25</v>
      </c>
      <c r="L23" s="17" t="s">
        <v>20</v>
      </c>
    </row>
    <row r="24" spans="2:12" ht="16" thickBot="1">
      <c r="D24" s="9">
        <v>0.05</v>
      </c>
      <c r="E24" s="26">
        <v>0.05</v>
      </c>
      <c r="F24" s="9">
        <v>0.35</v>
      </c>
      <c r="G24" s="9">
        <v>0.1</v>
      </c>
      <c r="H24" s="9">
        <v>0.05</v>
      </c>
      <c r="I24" s="9">
        <v>0.05</v>
      </c>
      <c r="J24" s="9">
        <v>0.2</v>
      </c>
      <c r="K24" s="27">
        <v>0.15</v>
      </c>
      <c r="L24" s="27">
        <f>SUM(D24:K24)</f>
        <v>1</v>
      </c>
    </row>
    <row r="25" spans="2:12" ht="16" thickBot="1">
      <c r="C25" s="3" t="s">
        <v>33</v>
      </c>
      <c r="D25" s="15">
        <v>97</v>
      </c>
      <c r="E25" s="15">
        <v>27</v>
      </c>
      <c r="F25" s="15">
        <v>0</v>
      </c>
      <c r="G25" s="15">
        <v>57</v>
      </c>
      <c r="H25" s="15">
        <v>-3.08</v>
      </c>
      <c r="I25" s="12">
        <v>-17.75</v>
      </c>
      <c r="J25" s="15">
        <v>305.60000000000002</v>
      </c>
      <c r="K25" s="18">
        <v>1000</v>
      </c>
      <c r="L25" s="13">
        <f>SUM(D25:K25)</f>
        <v>1465.77</v>
      </c>
    </row>
    <row r="27" spans="2:12">
      <c r="B27" s="3" t="s">
        <v>35</v>
      </c>
      <c r="C27" s="7">
        <f ca="1">WEEKNUM(TODAY())</f>
        <v>31</v>
      </c>
      <c r="D27" s="3" t="s">
        <v>4</v>
      </c>
      <c r="E27" s="3" t="s">
        <v>7</v>
      </c>
      <c r="F27" s="3" t="s">
        <v>23</v>
      </c>
      <c r="G27" s="3" t="s">
        <v>14</v>
      </c>
      <c r="H27" s="3" t="s">
        <v>24</v>
      </c>
      <c r="I27" s="19" t="s">
        <v>26</v>
      </c>
      <c r="J27" s="3" t="s">
        <v>44</v>
      </c>
      <c r="K27" s="17" t="s">
        <v>25</v>
      </c>
    </row>
    <row r="28" spans="2:12">
      <c r="B28" s="3" t="s">
        <v>29</v>
      </c>
      <c r="D28" s="6">
        <f ca="1">SUMIFS(credit_column,category_column,"Food",week_column,thisweek,year_column,thisyear)</f>
        <v>20</v>
      </c>
      <c r="E28" s="6">
        <f ca="1">SUMIFS(credit_column,category_column,"Gas",week_column,thisweek,year_column,thisyear)</f>
        <v>0</v>
      </c>
      <c r="F28" s="6">
        <f ca="1">SUMIFS(credit_column,category_column,"Rent",week_column,thisweek,year_column,thisyear)</f>
        <v>100</v>
      </c>
      <c r="G28" s="6">
        <f ca="1">SUMIFS(credit_column,category_column,"Donations",week_column,thisweek,year_column,thisyear)</f>
        <v>0</v>
      </c>
      <c r="H28" s="6">
        <f ca="1">SUMIFS(credit_column,category_column,"Leisure",week_column,thisweek,year_column,thisyear)</f>
        <v>0</v>
      </c>
      <c r="I28" s="20">
        <f ca="1">SUMIFS(credit_column,category_column,"Other Expenses",week_column,thisweek,year_column,thisyear)</f>
        <v>26</v>
      </c>
      <c r="J28" s="20">
        <f ca="1">SUMIFS(credit_column,category_column,"Car Insurance",week_column,thisweek,year_column,thisyear)</f>
        <v>0</v>
      </c>
      <c r="K28" s="23">
        <f ca="1">C29-SUM(D28:J28)</f>
        <v>354</v>
      </c>
    </row>
    <row r="29" spans="2:12">
      <c r="B29" s="3" t="s">
        <v>30</v>
      </c>
      <c r="C29" s="8">
        <v>500</v>
      </c>
      <c r="D29" s="8">
        <f t="shared" ref="D29:H29" si="0">$C29*D$24</f>
        <v>25</v>
      </c>
      <c r="E29" s="8">
        <f t="shared" si="0"/>
        <v>25</v>
      </c>
      <c r="F29" s="8">
        <f t="shared" si="0"/>
        <v>175</v>
      </c>
      <c r="G29" s="8">
        <f t="shared" si="0"/>
        <v>50</v>
      </c>
      <c r="H29" s="8">
        <f t="shared" si="0"/>
        <v>25</v>
      </c>
      <c r="I29" s="21">
        <f>$C29*I$24</f>
        <v>25</v>
      </c>
      <c r="J29" s="8">
        <f>$C29*J$24</f>
        <v>100</v>
      </c>
      <c r="K29" s="24">
        <f>$C29*K$24</f>
        <v>75</v>
      </c>
    </row>
    <row r="30" spans="2:12">
      <c r="B30" s="3" t="s">
        <v>31</v>
      </c>
      <c r="D30" s="9">
        <f ca="1">D28/D29</f>
        <v>0.8</v>
      </c>
      <c r="E30" s="9">
        <f t="shared" ref="E30:J30" ca="1" si="1">E28/E29</f>
        <v>0</v>
      </c>
      <c r="F30" s="9">
        <f t="shared" ca="1" si="1"/>
        <v>0.5714285714285714</v>
      </c>
      <c r="G30" s="9">
        <f t="shared" ca="1" si="1"/>
        <v>0</v>
      </c>
      <c r="H30" s="9">
        <f t="shared" ca="1" si="1"/>
        <v>0</v>
      </c>
      <c r="I30" s="22">
        <f t="shared" ca="1" si="1"/>
        <v>1.04</v>
      </c>
      <c r="J30" s="9">
        <f t="shared" ca="1" si="1"/>
        <v>0</v>
      </c>
    </row>
    <row r="32" spans="2:12">
      <c r="B32" s="3" t="s">
        <v>34</v>
      </c>
      <c r="C32" s="7">
        <f ca="1">MONTH(TODAY())</f>
        <v>7</v>
      </c>
      <c r="D32" s="3" t="s">
        <v>4</v>
      </c>
      <c r="E32" s="3" t="s">
        <v>7</v>
      </c>
      <c r="F32" s="3" t="s">
        <v>23</v>
      </c>
      <c r="G32" s="3" t="s">
        <v>14</v>
      </c>
      <c r="H32" s="3" t="s">
        <v>24</v>
      </c>
      <c r="I32" s="19" t="s">
        <v>26</v>
      </c>
      <c r="J32" s="3" t="s">
        <v>44</v>
      </c>
      <c r="K32" s="17" t="s">
        <v>25</v>
      </c>
    </row>
    <row r="33" spans="1:11">
      <c r="B33" s="3" t="s">
        <v>29</v>
      </c>
      <c r="D33" s="6">
        <f ca="1">SUMIFS(credit_column,category_column,"Food",month_column,thismonth,year_column,thisyear)-SUMIFS(debit_column,category_column,"Food",month_column,thismonth,year_column,thisyear)</f>
        <v>20</v>
      </c>
      <c r="E33" s="6">
        <f ca="1">SUMIFS(credit_column,category_column,"Gas",month_column,thismonth,year_column,thisyear)</f>
        <v>0</v>
      </c>
      <c r="F33" s="6">
        <f ca="1">SUMIFS(credit_column,category_column,"Rent",month_column,thismonth,year_column,thisyear)</f>
        <v>100</v>
      </c>
      <c r="G33" s="6">
        <f ca="1">SUMIFS(credit_column,category_column,"Donations",month_column,thismonth,year_column,thisyear)</f>
        <v>0</v>
      </c>
      <c r="H33" s="6">
        <f ca="1">SUMIFS(credit_column,category_column,"Leisure",month_column,thismonth,year_column,thisyear)</f>
        <v>0</v>
      </c>
      <c r="I33" s="20">
        <f ca="1">SUMIFS(credit_column,category_column,"Other Expenses",month_column,thismonth,year_column,thisyear)</f>
        <v>26</v>
      </c>
      <c r="J33" s="20">
        <f ca="1">SUMIFS(credit_column,category_column,"Car Insurance",month_column,thismonth,year_column,thisyear)</f>
        <v>0</v>
      </c>
      <c r="K33" s="23">
        <f ca="1">C34-SUM(D33:J33)</f>
        <v>1854</v>
      </c>
    </row>
    <row r="34" spans="1:11">
      <c r="B34" s="3" t="s">
        <v>30</v>
      </c>
      <c r="C34" s="8">
        <f>C29*4</f>
        <v>2000</v>
      </c>
      <c r="D34" s="8">
        <f t="shared" ref="D34:J34" si="2">$C34*D$24</f>
        <v>100</v>
      </c>
      <c r="E34" s="8">
        <f t="shared" si="2"/>
        <v>100</v>
      </c>
      <c r="F34" s="8">
        <f t="shared" si="2"/>
        <v>700</v>
      </c>
      <c r="G34" s="8">
        <f t="shared" si="2"/>
        <v>200</v>
      </c>
      <c r="H34" s="8">
        <f t="shared" si="2"/>
        <v>100</v>
      </c>
      <c r="I34" s="21">
        <f t="shared" si="2"/>
        <v>100</v>
      </c>
      <c r="J34" s="8">
        <f t="shared" si="2"/>
        <v>400</v>
      </c>
      <c r="K34" s="24">
        <f>$C34*K$24</f>
        <v>300</v>
      </c>
    </row>
    <row r="35" spans="1:11">
      <c r="B35" s="3" t="s">
        <v>31</v>
      </c>
      <c r="D35" s="9">
        <f ca="1">D33/D34</f>
        <v>0.2</v>
      </c>
      <c r="E35" s="9">
        <f t="shared" ref="E35:J35" ca="1" si="3">E33/E34</f>
        <v>0</v>
      </c>
      <c r="F35" s="9">
        <f t="shared" ca="1" si="3"/>
        <v>0.14285714285714285</v>
      </c>
      <c r="G35" s="9">
        <f t="shared" ca="1" si="3"/>
        <v>0</v>
      </c>
      <c r="H35" s="9">
        <f t="shared" ca="1" si="3"/>
        <v>0</v>
      </c>
      <c r="I35" s="22">
        <f t="shared" ca="1" si="3"/>
        <v>0.26</v>
      </c>
      <c r="J35" s="9">
        <f t="shared" ca="1" si="3"/>
        <v>0</v>
      </c>
    </row>
    <row r="37" spans="1:11">
      <c r="B37" s="3" t="s">
        <v>45</v>
      </c>
      <c r="C37" s="7">
        <f ca="1">YEAR(TODAY())</f>
        <v>2018</v>
      </c>
    </row>
    <row r="40" spans="1:11">
      <c r="E40" s="3" t="s">
        <v>1</v>
      </c>
      <c r="F40" s="3" t="s">
        <v>0</v>
      </c>
      <c r="G40" s="3" t="s">
        <v>12</v>
      </c>
      <c r="H40" s="3" t="s">
        <v>6</v>
      </c>
      <c r="I40" s="3" t="s">
        <v>3</v>
      </c>
      <c r="J40" s="3" t="s">
        <v>2</v>
      </c>
      <c r="K40" s="3" t="s">
        <v>11</v>
      </c>
    </row>
    <row r="41" spans="1:11">
      <c r="D41" s="4" t="s">
        <v>13</v>
      </c>
      <c r="E41" s="1">
        <f ca="1">TODAY()</f>
        <v>43312</v>
      </c>
      <c r="F41" s="2" t="s">
        <v>4</v>
      </c>
      <c r="G41" s="2" t="s">
        <v>52</v>
      </c>
      <c r="H41" s="2">
        <v>3</v>
      </c>
      <c r="I41" s="6"/>
      <c r="J41" s="14">
        <v>20</v>
      </c>
      <c r="K41" s="15" t="s">
        <v>36</v>
      </c>
    </row>
    <row r="46" spans="1:11">
      <c r="A46" s="4" t="s">
        <v>49</v>
      </c>
      <c r="H46" s="4" t="s">
        <v>50</v>
      </c>
      <c r="I46" s="10">
        <f>SUM(debit_column)</f>
        <v>500</v>
      </c>
      <c r="J46" s="11">
        <f>SUM(credit_column)</f>
        <v>146</v>
      </c>
    </row>
    <row r="47" spans="1:11">
      <c r="A47" s="3" t="s">
        <v>22</v>
      </c>
      <c r="B47" s="3" t="s">
        <v>21</v>
      </c>
      <c r="C47" s="3" t="s">
        <v>27</v>
      </c>
      <c r="D47" s="3" t="s">
        <v>28</v>
      </c>
      <c r="E47" s="3" t="s">
        <v>1</v>
      </c>
      <c r="F47" s="3" t="s">
        <v>0</v>
      </c>
      <c r="G47" s="3" t="s">
        <v>5</v>
      </c>
      <c r="H47" s="3" t="s">
        <v>6</v>
      </c>
      <c r="I47" s="3" t="s">
        <v>3</v>
      </c>
      <c r="J47" s="3" t="s">
        <v>2</v>
      </c>
      <c r="K47" s="3" t="s">
        <v>11</v>
      </c>
    </row>
    <row r="48" spans="1:11">
      <c r="A48" s="2">
        <v>2018</v>
      </c>
      <c r="B48" s="2">
        <v>7</v>
      </c>
      <c r="C48" s="2">
        <v>31</v>
      </c>
      <c r="D48" s="2" t="s">
        <v>39</v>
      </c>
      <c r="E48" s="1">
        <v>43312</v>
      </c>
      <c r="F48" s="2" t="s">
        <v>23</v>
      </c>
      <c r="G48" s="2" t="s">
        <v>47</v>
      </c>
      <c r="H48" s="2"/>
      <c r="I48" s="6"/>
      <c r="J48" s="6">
        <v>100</v>
      </c>
      <c r="K48" s="2" t="s">
        <v>10</v>
      </c>
    </row>
    <row r="49" spans="1:11">
      <c r="A49" s="2">
        <v>2018</v>
      </c>
      <c r="B49" s="2">
        <v>7</v>
      </c>
      <c r="C49" s="2">
        <v>31</v>
      </c>
      <c r="D49" s="2" t="s">
        <v>39</v>
      </c>
      <c r="E49" s="1">
        <v>43312</v>
      </c>
      <c r="F49" s="2" t="s">
        <v>15</v>
      </c>
      <c r="G49" s="2" t="s">
        <v>48</v>
      </c>
      <c r="H49" s="2"/>
      <c r="I49" s="6">
        <v>500</v>
      </c>
      <c r="J49" s="6"/>
      <c r="K49" s="2" t="s">
        <v>53</v>
      </c>
    </row>
    <row r="50" spans="1:11">
      <c r="A50" s="2">
        <v>2018</v>
      </c>
      <c r="B50" s="2">
        <v>7</v>
      </c>
      <c r="C50" s="2">
        <v>31</v>
      </c>
      <c r="D50" s="2" t="s">
        <v>39</v>
      </c>
      <c r="E50" s="1">
        <v>43312</v>
      </c>
      <c r="F50" s="2" t="s">
        <v>32</v>
      </c>
      <c r="G50" s="2" t="s">
        <v>51</v>
      </c>
      <c r="H50" s="2">
        <v>5</v>
      </c>
      <c r="I50" s="6"/>
      <c r="J50" s="6">
        <v>26</v>
      </c>
      <c r="K50" s="2" t="s">
        <v>8</v>
      </c>
    </row>
    <row r="51" spans="1:11">
      <c r="A51" s="2">
        <v>2018</v>
      </c>
      <c r="B51" s="2">
        <v>7</v>
      </c>
      <c r="C51" s="2">
        <v>31</v>
      </c>
      <c r="D51" s="2" t="s">
        <v>39</v>
      </c>
      <c r="E51" s="1">
        <v>43312</v>
      </c>
      <c r="F51" s="2" t="s">
        <v>4</v>
      </c>
      <c r="G51" s="2" t="s">
        <v>52</v>
      </c>
      <c r="H51" s="2">
        <v>3</v>
      </c>
      <c r="I51" s="6"/>
      <c r="J51" s="6">
        <v>20</v>
      </c>
      <c r="K51" s="2" t="s">
        <v>36</v>
      </c>
    </row>
    <row r="577" spans="13:13">
      <c r="M577" s="16"/>
    </row>
    <row r="599" spans="13:13">
      <c r="M599" s="16"/>
    </row>
  </sheetData>
  <sortState ref="A48:K50">
    <sortCondition ref="E48"/>
  </sortState>
  <conditionalFormatting sqref="G25:J25">
    <cfRule type="expression" dxfId="10" priority="7">
      <formula>(G25:M25=0)</formula>
    </cfRule>
    <cfRule type="expression" dxfId="9" priority="9">
      <formula>(G25:M25&lt;0)</formula>
    </cfRule>
  </conditionalFormatting>
  <conditionalFormatting sqref="M16:O16">
    <cfRule type="expression" dxfId="8" priority="8">
      <formula>(M16:O16&lt;0)</formula>
    </cfRule>
  </conditionalFormatting>
  <conditionalFormatting sqref="K25">
    <cfRule type="expression" dxfId="7" priority="15">
      <formula>(K25:P25=0)</formula>
    </cfRule>
    <cfRule type="expression" dxfId="6" priority="16">
      <formula>(K25:P25&lt;0)</formula>
    </cfRule>
  </conditionalFormatting>
  <conditionalFormatting sqref="D25:F25">
    <cfRule type="expression" dxfId="5" priority="17">
      <formula>(D25:K25=0)</formula>
    </cfRule>
    <cfRule type="expression" dxfId="4" priority="18">
      <formula>(D25:K25&lt;0)</formula>
    </cfRule>
  </conditionalFormatting>
  <conditionalFormatting sqref="I17:J17">
    <cfRule type="expression" dxfId="3" priority="1">
      <formula>(I17:O17=0)</formula>
    </cfRule>
    <cfRule type="expression" dxfId="2" priority="2">
      <formula>(I17:O17&lt;0)</formula>
    </cfRule>
  </conditionalFormatting>
  <conditionalFormatting sqref="G17:H17">
    <cfRule type="expression" dxfId="1" priority="3">
      <formula>(G17:N17=0)</formula>
    </cfRule>
    <cfRule type="expression" dxfId="0" priority="4">
      <formula>(G17:N17&lt;0)</formula>
    </cfRule>
  </conditionalFormatting>
  <dataValidations count="3">
    <dataValidation type="list" allowBlank="1" showInputMessage="1" showErrorMessage="1" sqref="D21:E21">
      <formula1>$D$23:$K$23</formula1>
    </dataValidation>
    <dataValidation type="list" allowBlank="1" showInputMessage="1" showErrorMessage="1" sqref="F41">
      <formula1>$F$2:$F$12</formula1>
    </dataValidation>
    <dataValidation type="list" allowBlank="1" showInputMessage="1" showErrorMessage="1" sqref="K41">
      <formula1>$K$2:$K$6</formula1>
    </dataValidation>
  </dataValidation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Sheet1.add_entry">
                <anchor moveWithCells="1" sizeWithCells="1">
                  <from>
                    <xdr:col>0</xdr:col>
                    <xdr:colOff>381000</xdr:colOff>
                    <xdr:row>1</xdr:row>
                    <xdr:rowOff>38100</xdr:rowOff>
                  </from>
                  <to>
                    <xdr:col>3</xdr:col>
                    <xdr:colOff>0</xdr:colOff>
                    <xdr:row>4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Sheet1.sortfinance">
                <anchor moveWithCells="1" sizeWithCells="1">
                  <from>
                    <xdr:col>0</xdr:col>
                    <xdr:colOff>381000</xdr:colOff>
                    <xdr:row>5</xdr:row>
                    <xdr:rowOff>127000</xdr:rowOff>
                  </from>
                  <to>
                    <xdr:col>3</xdr:col>
                    <xdr:colOff>0</xdr:colOff>
                    <xdr:row>9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heet1.clear">
                <anchor moveWithCells="1" sizeWithCells="1">
                  <from>
                    <xdr:col>0</xdr:col>
                    <xdr:colOff>368300</xdr:colOff>
                    <xdr:row>10</xdr:row>
                    <xdr:rowOff>127000</xdr:rowOff>
                  </from>
                  <to>
                    <xdr:col>3</xdr:col>
                    <xdr:colOff>12700</xdr:colOff>
                    <xdr:row>16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Sheet1.deletelastrow">
                <anchor moveWithCells="1" sizeWithCells="1">
                  <from>
                    <xdr:col>3</xdr:col>
                    <xdr:colOff>228600</xdr:colOff>
                    <xdr:row>10</xdr:row>
                    <xdr:rowOff>114300</xdr:rowOff>
                  </from>
                  <to>
                    <xdr:col>4</xdr:col>
                    <xdr:colOff>698500</xdr:colOff>
                    <xdr:row>17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42" r:id="rId7" name="Button 18">
              <controlPr defaultSize="0" print="0" autoFill="0" autoPict="0" macro="[0]!Sheet1.transfer">
                <anchor moveWithCells="1" sizeWithCells="1">
                  <from>
                    <xdr:col>0</xdr:col>
                    <xdr:colOff>596900</xdr:colOff>
                    <xdr:row>18</xdr:row>
                    <xdr:rowOff>152400</xdr:rowOff>
                  </from>
                  <to>
                    <xdr:col>2</xdr:col>
                    <xdr:colOff>495300</xdr:colOff>
                    <xdr:row>21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Personal Finance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 Isenberg</dc:creator>
  <cp:lastModifiedBy>Will Isenberg</cp:lastModifiedBy>
  <dcterms:created xsi:type="dcterms:W3CDTF">2016-08-10T19:36:02Z</dcterms:created>
  <dcterms:modified xsi:type="dcterms:W3CDTF">2018-07-31T18:43:16Z</dcterms:modified>
</cp:coreProperties>
</file>