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willise\Desktop\"/>
    </mc:Choice>
  </mc:AlternateContent>
  <xr:revisionPtr revIDLastSave="0" documentId="10_ncr:100000_{036E5C12-CCCD-44C5-BFDB-58D7D5CD2A4A}" xr6:coauthVersionLast="31" xr6:coauthVersionMax="31" xr10:uidLastSave="{00000000-0000-0000-0000-000000000000}"/>
  <bookViews>
    <workbookView xWindow="0" yWindow="0" windowWidth="13575" windowHeight="11085" tabRatio="500" xr2:uid="{00000000-000D-0000-FFFF-FFFF00000000}"/>
  </bookViews>
  <sheets>
    <sheet name="Journal" sheetId="4" r:id="rId1"/>
    <sheet name="Income" sheetId="3" r:id="rId2"/>
    <sheet name="Balance" sheetId="2" r:id="rId3"/>
    <sheet name="Sheet1" sheetId="5" r:id="rId4"/>
  </sheets>
  <definedNames>
    <definedName name="amount_entry">Journal!$G$11</definedName>
    <definedName name="Asset_Flex">Balance!$D$8:$D$10</definedName>
    <definedName name="Asset_List">Journal!$L$16:$L$18</definedName>
    <definedName name="category_input">Journal!$K$4</definedName>
    <definedName name="credit_amount_column">Journal!$H$16:$H$53</definedName>
    <definedName name="credit_column">Journal!$F$16:$F$53</definedName>
    <definedName name="credit_entry">Journal!$F$11</definedName>
    <definedName name="date_column">Journal!$C$16:$C$53</definedName>
    <definedName name="date_entry">Journal!$C$11</definedName>
    <definedName name="debit_amount_column">Journal!$G$16:$G$53</definedName>
    <definedName name="debit_column">Journal!$E$16:$E$53</definedName>
    <definedName name="debit_entry">Journal!$E$11</definedName>
    <definedName name="description_column">Journal!$D$16:$D$53</definedName>
    <definedName name="description_entry">Journal!$D$11</definedName>
    <definedName name="Expense_Flex">Income!$D$12:$D$18</definedName>
    <definedName name="Expense_List">Journal!$K$17:$K$23</definedName>
    <definedName name="Expense_List_Tax">Journal!$K$16:$K$23</definedName>
    <definedName name="income_after_tax">Income!$E$21</definedName>
    <definedName name="income_before_tax">Income!$E$20</definedName>
    <definedName name="journal">Journal!$C$16:$H$53</definedName>
    <definedName name="Liability_Flex">Balance!$D$15:$D$17</definedName>
    <definedName name="Liability_List">Journal!$M$16:$M$18</definedName>
    <definedName name="list_input">Journal!$K$5</definedName>
    <definedName name="loan_account">Balance!#REF!</definedName>
    <definedName name="Materials">Income!#REF!</definedName>
    <definedName name="net_income">Income!$E$23</definedName>
    <definedName name="Other">Income!#REF!</definedName>
    <definedName name="pack24_revenue">Income!#REF!</definedName>
    <definedName name="Rent">Income!#REF!</definedName>
    <definedName name="retained_earnings">Balance!$E$20</definedName>
    <definedName name="Revenue_Flex">Income!$D$7:$D$8</definedName>
    <definedName name="Revenue_List">Journal!$J$16:$J$17</definedName>
    <definedName name="test_range">Sheet1!$F$6:$F$9</definedName>
    <definedName name="test2">#REF!</definedName>
    <definedName name="test3">#REF!</definedName>
    <definedName name="total_assets">Balance!$E$11</definedName>
    <definedName name="total_equity">Balance!$E$23</definedName>
    <definedName name="total_expenses">Income!$E$19</definedName>
    <definedName name="total_liabilities">Balance!#REF!</definedName>
    <definedName name="total_revenue">Income!$E$9</definedName>
    <definedName name="WP_account">Balance!#REF!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8" i="3" l="1"/>
  <c r="E18" i="3" s="1"/>
  <c r="D17" i="3"/>
  <c r="E17" i="3" s="1"/>
  <c r="D16" i="3"/>
  <c r="E16" i="3" s="1"/>
  <c r="D15" i="3"/>
  <c r="E15" i="3" s="1"/>
  <c r="D14" i="3"/>
  <c r="E14" i="3" s="1"/>
  <c r="D13" i="3"/>
  <c r="E13" i="3" s="1"/>
  <c r="F7" i="5" l="1"/>
  <c r="G7" i="5" s="1"/>
  <c r="F8" i="5"/>
  <c r="G8" i="5" s="1"/>
  <c r="F9" i="5"/>
  <c r="G9" i="5" s="1"/>
  <c r="F6" i="5"/>
  <c r="G6" i="5" s="1"/>
  <c r="D16" i="2" l="1"/>
  <c r="D17" i="2"/>
  <c r="D15" i="2"/>
  <c r="D9" i="2"/>
  <c r="D10" i="2"/>
  <c r="D8" i="2"/>
  <c r="D7" i="3" l="1"/>
  <c r="E7" i="3" s="1"/>
  <c r="D8" i="3"/>
  <c r="E8" i="3" s="1"/>
  <c r="D12" i="3"/>
  <c r="E12" i="3" s="1"/>
  <c r="E21" i="3"/>
  <c r="E15" i="2"/>
  <c r="E16" i="2"/>
  <c r="E17" i="2"/>
  <c r="E10" i="2"/>
  <c r="E8" i="2"/>
  <c r="E9" i="2"/>
  <c r="D21" i="3"/>
  <c r="C11" i="4"/>
  <c r="G10" i="5" l="1"/>
  <c r="E18" i="2"/>
  <c r="E19" i="3"/>
  <c r="E11" i="2"/>
  <c r="E9" i="3"/>
  <c r="E20" i="3" l="1"/>
  <c r="E23" i="3" s="1"/>
  <c r="E20" i="2" l="1"/>
  <c r="G12" i="5"/>
  <c r="E23" i="2" l="1"/>
  <c r="G15" i="5"/>
  <c r="E24" i="2" l="1"/>
  <c r="G16" i="5"/>
</calcChain>
</file>

<file path=xl/sharedStrings.xml><?xml version="1.0" encoding="utf-8"?>
<sst xmlns="http://schemas.openxmlformats.org/spreadsheetml/2006/main" count="137" uniqueCount="77">
  <si>
    <t>Date</t>
  </si>
  <si>
    <t>Amount</t>
  </si>
  <si>
    <t>Cash</t>
  </si>
  <si>
    <t>Entry Row</t>
  </si>
  <si>
    <t>12-pack</t>
  </si>
  <si>
    <t>Revenue</t>
  </si>
  <si>
    <t>Total Revenues</t>
  </si>
  <si>
    <t>Expenses</t>
  </si>
  <si>
    <t>Total Expenses</t>
  </si>
  <si>
    <t>Net Income Before Taxes</t>
  </si>
  <si>
    <t>Assets</t>
  </si>
  <si>
    <t>Total Assets</t>
  </si>
  <si>
    <t>Liabilities and Owner's Equity</t>
  </si>
  <si>
    <t>Owner's Equity</t>
  </si>
  <si>
    <t>Retained earnings</t>
  </si>
  <si>
    <t>Total Liabilities and Owner's Equity</t>
  </si>
  <si>
    <t>Bank</t>
  </si>
  <si>
    <t>Machinery</t>
  </si>
  <si>
    <t>Wages Payable</t>
  </si>
  <si>
    <t>Accounts Payable</t>
  </si>
  <si>
    <t>Ingredients Expenses</t>
  </si>
  <si>
    <t>Labor Expenses</t>
  </si>
  <si>
    <t>Utilities Expenses</t>
  </si>
  <si>
    <t>Materials Expenses</t>
  </si>
  <si>
    <t>Accounts Receivable</t>
  </si>
  <si>
    <t>Loan</t>
  </si>
  <si>
    <t>Description</t>
  </si>
  <si>
    <t xml:space="preserve">12-pack </t>
  </si>
  <si>
    <t>Debit Account</t>
  </si>
  <si>
    <t>Credit Account</t>
  </si>
  <si>
    <t>Debit Amount</t>
  </si>
  <si>
    <t>Credit Amount</t>
  </si>
  <si>
    <t>Paid Rent on Account</t>
  </si>
  <si>
    <t>Paid off Rent account</t>
  </si>
  <si>
    <t>Paid electric bill</t>
  </si>
  <si>
    <t>Paid salary</t>
  </si>
  <si>
    <t>Paid off salary account</t>
  </si>
  <si>
    <t>Sale of cookies</t>
  </si>
  <si>
    <t>Deposit money in bank</t>
  </si>
  <si>
    <t>Buy oven</t>
  </si>
  <si>
    <t>Bank Loan</t>
  </si>
  <si>
    <t>Loan repay</t>
  </si>
  <si>
    <t>TV advertisement</t>
  </si>
  <si>
    <t>Buy flour</t>
  </si>
  <si>
    <t>Buy cardboard</t>
  </si>
  <si>
    <t>Sell cookies</t>
  </si>
  <si>
    <t>Receive partial payment</t>
  </si>
  <si>
    <t>Legal fees</t>
  </si>
  <si>
    <t>Sale of oven</t>
  </si>
  <si>
    <t>Rent Expenses</t>
  </si>
  <si>
    <t>Tax Expenses</t>
  </si>
  <si>
    <t>Net Income</t>
  </si>
  <si>
    <t>Liabilities</t>
  </si>
  <si>
    <t>Total Owner's Equity</t>
  </si>
  <si>
    <t>Balance Sheet</t>
  </si>
  <si>
    <t>Pay Internet bill</t>
  </si>
  <si>
    <t>Income sheet</t>
  </si>
  <si>
    <t>Journal</t>
  </si>
  <si>
    <t>Tickets</t>
  </si>
  <si>
    <t>Merchandise</t>
  </si>
  <si>
    <t>Expense</t>
  </si>
  <si>
    <t>T-Shirts</t>
  </si>
  <si>
    <t>Advertising Expenses</t>
  </si>
  <si>
    <t>Category name:</t>
  </si>
  <si>
    <t>List:</t>
  </si>
  <si>
    <t>Asset</t>
  </si>
  <si>
    <t>Liability</t>
  </si>
  <si>
    <t>Total Liabilities</t>
  </si>
  <si>
    <t>test range</t>
  </si>
  <si>
    <t>test</t>
  </si>
  <si>
    <t>Venue</t>
  </si>
  <si>
    <t>a</t>
  </si>
  <si>
    <t>b</t>
  </si>
  <si>
    <t>c</t>
  </si>
  <si>
    <t>d</t>
  </si>
  <si>
    <t>e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</si>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</sst>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[$-409]d\-mmm;@"/>
  </numFmts>
  <fonts count="1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91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6">
    <xf numFmtId="0" fontId="0" fillId="0" borderId="0" xfId="0"/>
    <xf numFmtId="164" fontId="0" fillId="3" borderId="1" xfId="0" applyNumberFormat="1" applyFill="1" applyBorder="1"/>
    <xf numFmtId="0" fontId="0" fillId="3" borderId="1" xfId="0" applyFill="1" applyBorder="1"/>
    <xf numFmtId="0" fontId="5" fillId="2" borderId="1" xfId="0" applyFont="1" applyFill="1" applyBorder="1"/>
    <xf numFmtId="14" fontId="5" fillId="2" borderId="1" xfId="0" applyNumberFormat="1" applyFont="1" applyFill="1" applyBorder="1"/>
    <xf numFmtId="0" fontId="6" fillId="0" borderId="0" xfId="0" applyFont="1" applyProtection="1"/>
    <xf numFmtId="44" fontId="0" fillId="3" borderId="1" xfId="0" applyNumberFormat="1" applyFill="1" applyBorder="1" applyAlignment="1">
      <alignment horizontal="center"/>
    </xf>
    <xf numFmtId="44" fontId="0" fillId="3" borderId="1" xfId="0" applyNumberFormat="1" applyFill="1" applyBorder="1" applyAlignment="1">
      <alignment horizontal="center"/>
    </xf>
    <xf numFmtId="0" fontId="8" fillId="2" borderId="1" xfId="0" applyFont="1" applyFill="1" applyBorder="1" applyAlignment="1" applyProtection="1">
      <alignment vertical="center"/>
    </xf>
    <xf numFmtId="44" fontId="9" fillId="2" borderId="1" xfId="4813" applyNumberFormat="1" applyFont="1" applyFill="1" applyBorder="1" applyAlignment="1" applyProtection="1">
      <alignment vertical="center"/>
      <protection locked="0"/>
    </xf>
    <xf numFmtId="0" fontId="1" fillId="3" borderId="1" xfId="0" applyFont="1" applyFill="1" applyBorder="1"/>
    <xf numFmtId="44" fontId="9" fillId="3" borderId="1" xfId="4813" applyNumberFormat="1" applyFont="1" applyFill="1" applyBorder="1" applyAlignment="1" applyProtection="1">
      <alignment vertical="center"/>
      <protection locked="0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/>
    <xf numFmtId="0" fontId="5" fillId="2" borderId="3" xfId="0" applyFont="1" applyFill="1" applyBorder="1"/>
    <xf numFmtId="0" fontId="5" fillId="2" borderId="4" xfId="0" applyFont="1" applyFill="1" applyBorder="1"/>
    <xf numFmtId="0" fontId="5" fillId="2" borderId="5" xfId="0" applyFont="1" applyFill="1" applyBorder="1" applyAlignment="1">
      <alignment horizontal="center" vertical="center"/>
    </xf>
    <xf numFmtId="44" fontId="7" fillId="2" borderId="5" xfId="4813" applyNumberFormat="1" applyFont="1" applyFill="1" applyBorder="1" applyAlignment="1" applyProtection="1">
      <alignment vertical="center"/>
      <protection locked="0"/>
    </xf>
    <xf numFmtId="0" fontId="0" fillId="3" borderId="6" xfId="0" applyFill="1" applyBorder="1"/>
    <xf numFmtId="44" fontId="9" fillId="3" borderId="6" xfId="4813" applyNumberFormat="1" applyFont="1" applyFill="1" applyBorder="1" applyAlignment="1" applyProtection="1">
      <alignment vertical="center"/>
      <protection locked="0"/>
    </xf>
    <xf numFmtId="44" fontId="7" fillId="2" borderId="1" xfId="0" applyNumberFormat="1" applyFont="1" applyFill="1" applyBorder="1" applyAlignment="1" applyProtection="1">
      <alignment vertical="center"/>
    </xf>
    <xf numFmtId="44" fontId="0" fillId="3" borderId="1" xfId="0" applyNumberFormat="1" applyFill="1" applyBorder="1" applyAlignment="1">
      <alignment horizontal="center"/>
    </xf>
    <xf numFmtId="0" fontId="5" fillId="2" borderId="7" xfId="0" applyFont="1" applyFill="1" applyBorder="1"/>
    <xf numFmtId="0" fontId="5" fillId="2" borderId="8" xfId="0" applyFont="1" applyFill="1" applyBorder="1"/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/>
    <xf numFmtId="0" fontId="5" fillId="2" borderId="11" xfId="0" applyFont="1" applyFill="1" applyBorder="1"/>
    <xf numFmtId="44" fontId="7" fillId="2" borderId="12" xfId="4813" applyNumberFormat="1" applyFont="1" applyFill="1" applyBorder="1" applyAlignment="1" applyProtection="1">
      <alignment vertical="center"/>
      <protection locked="0"/>
    </xf>
    <xf numFmtId="44" fontId="7" fillId="2" borderId="1" xfId="4813" applyNumberFormat="1" applyFont="1" applyFill="1" applyBorder="1" applyAlignment="1" applyProtection="1">
      <alignment vertical="center"/>
      <protection locked="0"/>
    </xf>
    <xf numFmtId="0" fontId="11" fillId="0" borderId="0" xfId="0" applyFont="1"/>
    <xf numFmtId="0" fontId="5" fillId="4" borderId="3" xfId="0" applyFont="1" applyFill="1" applyBorder="1"/>
    <xf numFmtId="0" fontId="5" fillId="4" borderId="4" xfId="0" applyFont="1" applyFill="1" applyBorder="1"/>
    <xf numFmtId="0" fontId="5" fillId="4" borderId="5" xfId="0" applyFont="1" applyFill="1" applyBorder="1" applyAlignment="1">
      <alignment horizontal="center" vertical="center"/>
    </xf>
    <xf numFmtId="0" fontId="5" fillId="4" borderId="2" xfId="0" applyFont="1" applyFill="1" applyBorder="1"/>
    <xf numFmtId="44" fontId="9" fillId="4" borderId="1" xfId="4813" applyNumberFormat="1" applyFont="1" applyFill="1" applyBorder="1" applyAlignment="1" applyProtection="1">
      <alignment vertical="center"/>
      <protection locked="0"/>
    </xf>
    <xf numFmtId="0" fontId="5" fillId="4" borderId="1" xfId="0" applyFont="1" applyFill="1" applyBorder="1"/>
    <xf numFmtId="0" fontId="5" fillId="4" borderId="11" xfId="0" applyFont="1" applyFill="1" applyBorder="1"/>
    <xf numFmtId="44" fontId="7" fillId="4" borderId="12" xfId="4813" applyNumberFormat="1" applyFont="1" applyFill="1" applyBorder="1" applyAlignment="1" applyProtection="1">
      <alignment vertical="center"/>
      <protection locked="0"/>
    </xf>
    <xf numFmtId="44" fontId="7" fillId="4" borderId="5" xfId="4813" applyNumberFormat="1" applyFont="1" applyFill="1" applyBorder="1" applyAlignment="1" applyProtection="1">
      <alignment vertical="center"/>
      <protection locked="0"/>
    </xf>
    <xf numFmtId="0" fontId="0" fillId="5" borderId="1" xfId="0" applyFill="1" applyBorder="1"/>
    <xf numFmtId="44" fontId="9" fillId="5" borderId="1" xfId="4813" applyNumberFormat="1" applyFont="1" applyFill="1" applyBorder="1" applyAlignment="1" applyProtection="1">
      <alignment vertical="center"/>
      <protection locked="0"/>
    </xf>
    <xf numFmtId="0" fontId="5" fillId="5" borderId="1" xfId="0" applyFont="1" applyFill="1" applyBorder="1"/>
    <xf numFmtId="0" fontId="5" fillId="2" borderId="13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44" fontId="0" fillId="3" borderId="13" xfId="0" applyNumberFormat="1" applyFill="1" applyBorder="1" applyAlignment="1">
      <alignment horizontal="center"/>
    </xf>
    <xf numFmtId="44" fontId="0" fillId="3" borderId="14" xfId="0" applyNumberFormat="1" applyFill="1" applyBorder="1" applyAlignment="1">
      <alignment horizontal="center"/>
    </xf>
  </cellXfs>
  <cellStyles count="4910">
    <cellStyle name="Currency" xfId="4813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Followed Hyperlink" xfId="2872" builtinId="9" hidden="1"/>
    <cellStyle name="Followed Hyperlink" xfId="2874" builtinId="9" hidden="1"/>
    <cellStyle name="Followed Hyperlink" xfId="2876" builtinId="9" hidden="1"/>
    <cellStyle name="Followed Hyperlink" xfId="2878" builtinId="9" hidden="1"/>
    <cellStyle name="Followed Hyperlink" xfId="2880" builtinId="9" hidden="1"/>
    <cellStyle name="Followed Hyperlink" xfId="2882" builtinId="9" hidden="1"/>
    <cellStyle name="Followed Hyperlink" xfId="2884" builtinId="9" hidden="1"/>
    <cellStyle name="Followed Hyperlink" xfId="2886" builtinId="9" hidden="1"/>
    <cellStyle name="Followed Hyperlink" xfId="2888" builtinId="9" hidden="1"/>
    <cellStyle name="Followed Hyperlink" xfId="2890" builtinId="9" hidden="1"/>
    <cellStyle name="Followed Hyperlink" xfId="2892" builtinId="9" hidden="1"/>
    <cellStyle name="Followed Hyperlink" xfId="2894" builtinId="9" hidden="1"/>
    <cellStyle name="Followed Hyperlink" xfId="2896" builtinId="9" hidden="1"/>
    <cellStyle name="Followed Hyperlink" xfId="2898" builtinId="9" hidden="1"/>
    <cellStyle name="Followed Hyperlink" xfId="2900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20" builtinId="9" hidden="1"/>
    <cellStyle name="Followed Hyperlink" xfId="3022" builtinId="9" hidden="1"/>
    <cellStyle name="Followed Hyperlink" xfId="3024" builtinId="9" hidden="1"/>
    <cellStyle name="Followed Hyperlink" xfId="3026" builtinId="9" hidden="1"/>
    <cellStyle name="Followed Hyperlink" xfId="3028" builtinId="9" hidden="1"/>
    <cellStyle name="Followed Hyperlink" xfId="3030" builtinId="9" hidden="1"/>
    <cellStyle name="Followed Hyperlink" xfId="3032" builtinId="9" hidden="1"/>
    <cellStyle name="Followed Hyperlink" xfId="3034" builtinId="9" hidden="1"/>
    <cellStyle name="Followed Hyperlink" xfId="3036" builtinId="9" hidden="1"/>
    <cellStyle name="Followed Hyperlink" xfId="3038" builtinId="9" hidden="1"/>
    <cellStyle name="Followed Hyperlink" xfId="3040" builtinId="9" hidden="1"/>
    <cellStyle name="Followed Hyperlink" xfId="3042" builtinId="9" hidden="1"/>
    <cellStyle name="Followed Hyperlink" xfId="3044" builtinId="9" hidden="1"/>
    <cellStyle name="Followed Hyperlink" xfId="3046" builtinId="9" hidden="1"/>
    <cellStyle name="Followed Hyperlink" xfId="3048" builtinId="9" hidden="1"/>
    <cellStyle name="Followed Hyperlink" xfId="3050" builtinId="9" hidden="1"/>
    <cellStyle name="Followed Hyperlink" xfId="3052" builtinId="9" hidden="1"/>
    <cellStyle name="Followed Hyperlink" xfId="3054" builtinId="9" hidden="1"/>
    <cellStyle name="Followed Hyperlink" xfId="3056" builtinId="9" hidden="1"/>
    <cellStyle name="Followed Hyperlink" xfId="3058" builtinId="9" hidden="1"/>
    <cellStyle name="Followed Hyperlink" xfId="3060" builtinId="9" hidden="1"/>
    <cellStyle name="Followed Hyperlink" xfId="3062" builtinId="9" hidden="1"/>
    <cellStyle name="Followed Hyperlink" xfId="3064" builtinId="9" hidden="1"/>
    <cellStyle name="Followed Hyperlink" xfId="3066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176" builtinId="9" hidden="1"/>
    <cellStyle name="Followed Hyperlink" xfId="3178" builtinId="9" hidden="1"/>
    <cellStyle name="Followed Hyperlink" xfId="3180" builtinId="9" hidden="1"/>
    <cellStyle name="Followed Hyperlink" xfId="3182" builtinId="9" hidden="1"/>
    <cellStyle name="Followed Hyperlink" xfId="3184" builtinId="9" hidden="1"/>
    <cellStyle name="Followed Hyperlink" xfId="3186" builtinId="9" hidden="1"/>
    <cellStyle name="Followed Hyperlink" xfId="3188" builtinId="9" hidden="1"/>
    <cellStyle name="Followed Hyperlink" xfId="3190" builtinId="9" hidden="1"/>
    <cellStyle name="Followed Hyperlink" xfId="3192" builtinId="9" hidden="1"/>
    <cellStyle name="Followed Hyperlink" xfId="3194" builtinId="9" hidden="1"/>
    <cellStyle name="Followed Hyperlink" xfId="3196" builtinId="9" hidden="1"/>
    <cellStyle name="Followed Hyperlink" xfId="3198" builtinId="9" hidden="1"/>
    <cellStyle name="Followed Hyperlink" xfId="3200" builtinId="9" hidden="1"/>
    <cellStyle name="Followed Hyperlink" xfId="3202" builtinId="9" hidden="1"/>
    <cellStyle name="Followed Hyperlink" xfId="3204" builtinId="9" hidden="1"/>
    <cellStyle name="Followed Hyperlink" xfId="3206" builtinId="9" hidden="1"/>
    <cellStyle name="Followed Hyperlink" xfId="3208" builtinId="9" hidden="1"/>
    <cellStyle name="Followed Hyperlink" xfId="3210" builtinId="9" hidden="1"/>
    <cellStyle name="Followed Hyperlink" xfId="3212" builtinId="9" hidden="1"/>
    <cellStyle name="Followed Hyperlink" xfId="3214" builtinId="9" hidden="1"/>
    <cellStyle name="Followed Hyperlink" xfId="3216" builtinId="9" hidden="1"/>
    <cellStyle name="Followed Hyperlink" xfId="3218" builtinId="9" hidden="1"/>
    <cellStyle name="Followed Hyperlink" xfId="3220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0" builtinId="9" hidden="1"/>
    <cellStyle name="Followed Hyperlink" xfId="3232" builtinId="9" hidden="1"/>
    <cellStyle name="Followed Hyperlink" xfId="3234" builtinId="9" hidden="1"/>
    <cellStyle name="Followed Hyperlink" xfId="3236" builtinId="9" hidden="1"/>
    <cellStyle name="Followed Hyperlink" xfId="3238" builtinId="9" hidden="1"/>
    <cellStyle name="Followed Hyperlink" xfId="3240" builtinId="9" hidden="1"/>
    <cellStyle name="Followed Hyperlink" xfId="3242" builtinId="9" hidden="1"/>
    <cellStyle name="Followed Hyperlink" xfId="3244" builtinId="9" hidden="1"/>
    <cellStyle name="Followed Hyperlink" xfId="3246" builtinId="9" hidden="1"/>
    <cellStyle name="Followed Hyperlink" xfId="3248" builtinId="9" hidden="1"/>
    <cellStyle name="Followed Hyperlink" xfId="3250" builtinId="9" hidden="1"/>
    <cellStyle name="Followed Hyperlink" xfId="3252" builtinId="9" hidden="1"/>
    <cellStyle name="Followed Hyperlink" xfId="3254" builtinId="9" hidden="1"/>
    <cellStyle name="Followed Hyperlink" xfId="3256" builtinId="9" hidden="1"/>
    <cellStyle name="Followed Hyperlink" xfId="3258" builtinId="9" hidden="1"/>
    <cellStyle name="Followed Hyperlink" xfId="3260" builtinId="9" hidden="1"/>
    <cellStyle name="Followed Hyperlink" xfId="3262" builtinId="9" hidden="1"/>
    <cellStyle name="Followed Hyperlink" xfId="3264" builtinId="9" hidden="1"/>
    <cellStyle name="Followed Hyperlink" xfId="3266" builtinId="9" hidden="1"/>
    <cellStyle name="Followed Hyperlink" xfId="3268" builtinId="9" hidden="1"/>
    <cellStyle name="Followed Hyperlink" xfId="3270" builtinId="9" hidden="1"/>
    <cellStyle name="Followed Hyperlink" xfId="3272" builtinId="9" hidden="1"/>
    <cellStyle name="Followed Hyperlink" xfId="3274" builtinId="9" hidden="1"/>
    <cellStyle name="Followed Hyperlink" xfId="3276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290" builtinId="9" hidden="1"/>
    <cellStyle name="Followed Hyperlink" xfId="3292" builtinId="9" hidden="1"/>
    <cellStyle name="Followed Hyperlink" xfId="3294" builtinId="9" hidden="1"/>
    <cellStyle name="Followed Hyperlink" xfId="3296" builtinId="9" hidden="1"/>
    <cellStyle name="Followed Hyperlink" xfId="3298" builtinId="9" hidden="1"/>
    <cellStyle name="Followed Hyperlink" xfId="3300" builtinId="9" hidden="1"/>
    <cellStyle name="Followed Hyperlink" xfId="3302" builtinId="9" hidden="1"/>
    <cellStyle name="Followed Hyperlink" xfId="3304" builtinId="9" hidden="1"/>
    <cellStyle name="Followed Hyperlink" xfId="3306" builtinId="9" hidden="1"/>
    <cellStyle name="Followed Hyperlink" xfId="3308" builtinId="9" hidden="1"/>
    <cellStyle name="Followed Hyperlink" xfId="3310" builtinId="9" hidden="1"/>
    <cellStyle name="Followed Hyperlink" xfId="3312" builtinId="9" hidden="1"/>
    <cellStyle name="Followed Hyperlink" xfId="3314" builtinId="9" hidden="1"/>
    <cellStyle name="Followed Hyperlink" xfId="3316" builtinId="9" hidden="1"/>
    <cellStyle name="Followed Hyperlink" xfId="3318" builtinId="9" hidden="1"/>
    <cellStyle name="Followed Hyperlink" xfId="3320" builtinId="9" hidden="1"/>
    <cellStyle name="Followed Hyperlink" xfId="3322" builtinId="9" hidden="1"/>
    <cellStyle name="Followed Hyperlink" xfId="3324" builtinId="9" hidden="1"/>
    <cellStyle name="Followed Hyperlink" xfId="3326" builtinId="9" hidden="1"/>
    <cellStyle name="Followed Hyperlink" xfId="332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8" builtinId="9" hidden="1"/>
    <cellStyle name="Followed Hyperlink" xfId="3340" builtinId="9" hidden="1"/>
    <cellStyle name="Followed Hyperlink" xfId="3342" builtinId="9" hidden="1"/>
    <cellStyle name="Followed Hyperlink" xfId="3344" builtinId="9" hidden="1"/>
    <cellStyle name="Followed Hyperlink" xfId="3346" builtinId="9" hidden="1"/>
    <cellStyle name="Followed Hyperlink" xfId="3348" builtinId="9" hidden="1"/>
    <cellStyle name="Followed Hyperlink" xfId="3350" builtinId="9" hidden="1"/>
    <cellStyle name="Followed Hyperlink" xfId="3352" builtinId="9" hidden="1"/>
    <cellStyle name="Followed Hyperlink" xfId="3354" builtinId="9" hidden="1"/>
    <cellStyle name="Followed Hyperlink" xfId="3356" builtinId="9" hidden="1"/>
    <cellStyle name="Followed Hyperlink" xfId="3358" builtinId="9" hidden="1"/>
    <cellStyle name="Followed Hyperlink" xfId="3360" builtinId="9" hidden="1"/>
    <cellStyle name="Followed Hyperlink" xfId="3362" builtinId="9" hidden="1"/>
    <cellStyle name="Followed Hyperlink" xfId="3364" builtinId="9" hidden="1"/>
    <cellStyle name="Followed Hyperlink" xfId="3366" builtinId="9" hidden="1"/>
    <cellStyle name="Followed Hyperlink" xfId="3368" builtinId="9" hidden="1"/>
    <cellStyle name="Followed Hyperlink" xfId="3370" builtinId="9" hidden="1"/>
    <cellStyle name="Followed Hyperlink" xfId="3372" builtinId="9" hidden="1"/>
    <cellStyle name="Followed Hyperlink" xfId="3374" builtinId="9" hidden="1"/>
    <cellStyle name="Followed Hyperlink" xfId="3376" builtinId="9" hidden="1"/>
    <cellStyle name="Followed Hyperlink" xfId="3378" builtinId="9" hidden="1"/>
    <cellStyle name="Followed Hyperlink" xfId="3380" builtinId="9" hidden="1"/>
    <cellStyle name="Followed Hyperlink" xfId="3382" builtinId="9" hidden="1"/>
    <cellStyle name="Followed Hyperlink" xfId="3384" builtinId="9" hidden="1"/>
    <cellStyle name="Followed Hyperlink" xfId="3386" builtinId="9" hidden="1"/>
    <cellStyle name="Followed Hyperlink" xfId="3388" builtinId="9" hidden="1"/>
    <cellStyle name="Followed Hyperlink" xfId="3390" builtinId="9" hidden="1"/>
    <cellStyle name="Followed Hyperlink" xfId="3392" builtinId="9" hidden="1"/>
    <cellStyle name="Followed Hyperlink" xfId="3394" builtinId="9" hidden="1"/>
    <cellStyle name="Followed Hyperlink" xfId="3396" builtinId="9" hidden="1"/>
    <cellStyle name="Followed Hyperlink" xfId="3398" builtinId="9" hidden="1"/>
    <cellStyle name="Followed Hyperlink" xfId="3400" builtinId="9" hidden="1"/>
    <cellStyle name="Followed Hyperlink" xfId="3402" builtinId="9" hidden="1"/>
    <cellStyle name="Followed Hyperlink" xfId="3404" builtinId="9" hidden="1"/>
    <cellStyle name="Followed Hyperlink" xfId="3406" builtinId="9" hidden="1"/>
    <cellStyle name="Followed Hyperlink" xfId="3408" builtinId="9" hidden="1"/>
    <cellStyle name="Followed Hyperlink" xfId="3410" builtinId="9" hidden="1"/>
    <cellStyle name="Followed Hyperlink" xfId="3412" builtinId="9" hidden="1"/>
    <cellStyle name="Followed Hyperlink" xfId="3414" builtinId="9" hidden="1"/>
    <cellStyle name="Followed Hyperlink" xfId="3416" builtinId="9" hidden="1"/>
    <cellStyle name="Followed Hyperlink" xfId="3418" builtinId="9" hidden="1"/>
    <cellStyle name="Followed Hyperlink" xfId="3420" builtinId="9" hidden="1"/>
    <cellStyle name="Followed Hyperlink" xfId="3422" builtinId="9" hidden="1"/>
    <cellStyle name="Followed Hyperlink" xfId="3424" builtinId="9" hidden="1"/>
    <cellStyle name="Followed Hyperlink" xfId="3426" builtinId="9" hidden="1"/>
    <cellStyle name="Followed Hyperlink" xfId="3428" builtinId="9" hidden="1"/>
    <cellStyle name="Followed Hyperlink" xfId="3430" builtinId="9" hidden="1"/>
    <cellStyle name="Followed Hyperlink" xfId="3432" builtinId="9" hidden="1"/>
    <cellStyle name="Followed Hyperlink" xfId="3434" builtinId="9" hidden="1"/>
    <cellStyle name="Followed Hyperlink" xfId="3436" builtinId="9" hidden="1"/>
    <cellStyle name="Followed Hyperlink" xfId="3438" builtinId="9" hidden="1"/>
    <cellStyle name="Followed Hyperlink" xfId="3440" builtinId="9" hidden="1"/>
    <cellStyle name="Followed Hyperlink" xfId="3442" builtinId="9" hidden="1"/>
    <cellStyle name="Followed Hyperlink" xfId="3444" builtinId="9" hidden="1"/>
    <cellStyle name="Followed Hyperlink" xfId="3446" builtinId="9" hidden="1"/>
    <cellStyle name="Followed Hyperlink" xfId="3448" builtinId="9" hidden="1"/>
    <cellStyle name="Followed Hyperlink" xfId="3450" builtinId="9" hidden="1"/>
    <cellStyle name="Followed Hyperlink" xfId="3452" builtinId="9" hidden="1"/>
    <cellStyle name="Followed Hyperlink" xfId="3454" builtinId="9" hidden="1"/>
    <cellStyle name="Followed Hyperlink" xfId="3456" builtinId="9" hidden="1"/>
    <cellStyle name="Followed Hyperlink" xfId="3458" builtinId="9" hidden="1"/>
    <cellStyle name="Followed Hyperlink" xfId="3460" builtinId="9" hidden="1"/>
    <cellStyle name="Followed Hyperlink" xfId="3462" builtinId="9" hidden="1"/>
    <cellStyle name="Followed Hyperlink" xfId="3464" builtinId="9" hidden="1"/>
    <cellStyle name="Followed Hyperlink" xfId="3466" builtinId="9" hidden="1"/>
    <cellStyle name="Followed Hyperlink" xfId="3468" builtinId="9" hidden="1"/>
    <cellStyle name="Followed Hyperlink" xfId="3470" builtinId="9" hidden="1"/>
    <cellStyle name="Followed Hyperlink" xfId="3472" builtinId="9" hidden="1"/>
    <cellStyle name="Followed Hyperlink" xfId="3474" builtinId="9" hidden="1"/>
    <cellStyle name="Followed Hyperlink" xfId="3476" builtinId="9" hidden="1"/>
    <cellStyle name="Followed Hyperlink" xfId="3478" builtinId="9" hidden="1"/>
    <cellStyle name="Followed Hyperlink" xfId="3480" builtinId="9" hidden="1"/>
    <cellStyle name="Followed Hyperlink" xfId="3482" builtinId="9" hidden="1"/>
    <cellStyle name="Followed Hyperlink" xfId="3484" builtinId="9" hidden="1"/>
    <cellStyle name="Followed Hyperlink" xfId="3486" builtinId="9" hidden="1"/>
    <cellStyle name="Followed Hyperlink" xfId="3488" builtinId="9" hidden="1"/>
    <cellStyle name="Followed Hyperlink" xfId="3490" builtinId="9" hidden="1"/>
    <cellStyle name="Followed Hyperlink" xfId="3492" builtinId="9" hidden="1"/>
    <cellStyle name="Followed Hyperlink" xfId="3494" builtinId="9" hidden="1"/>
    <cellStyle name="Followed Hyperlink" xfId="3496" builtinId="9" hidden="1"/>
    <cellStyle name="Followed Hyperlink" xfId="3498" builtinId="9" hidden="1"/>
    <cellStyle name="Followed Hyperlink" xfId="3500" builtinId="9" hidden="1"/>
    <cellStyle name="Followed Hyperlink" xfId="3502" builtinId="9" hidden="1"/>
    <cellStyle name="Followed Hyperlink" xfId="3504" builtinId="9" hidden="1"/>
    <cellStyle name="Followed Hyperlink" xfId="3506" builtinId="9" hidden="1"/>
    <cellStyle name="Followed Hyperlink" xfId="3508" builtinId="9" hidden="1"/>
    <cellStyle name="Followed Hyperlink" xfId="3510" builtinId="9" hidden="1"/>
    <cellStyle name="Followed Hyperlink" xfId="3512" builtinId="9" hidden="1"/>
    <cellStyle name="Followed Hyperlink" xfId="3514" builtinId="9" hidden="1"/>
    <cellStyle name="Followed Hyperlink" xfId="3516" builtinId="9" hidden="1"/>
    <cellStyle name="Followed Hyperlink" xfId="3518" builtinId="9" hidden="1"/>
    <cellStyle name="Followed Hyperlink" xfId="3520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34" builtinId="9" hidden="1"/>
    <cellStyle name="Followed Hyperlink" xfId="3536" builtinId="9" hidden="1"/>
    <cellStyle name="Followed Hyperlink" xfId="3538" builtinId="9" hidden="1"/>
    <cellStyle name="Followed Hyperlink" xfId="3540" builtinId="9" hidden="1"/>
    <cellStyle name="Followed Hyperlink" xfId="3542" builtinId="9" hidden="1"/>
    <cellStyle name="Followed Hyperlink" xfId="3544" builtinId="9" hidden="1"/>
    <cellStyle name="Followed Hyperlink" xfId="3546" builtinId="9" hidden="1"/>
    <cellStyle name="Followed Hyperlink" xfId="3548" builtinId="9" hidden="1"/>
    <cellStyle name="Followed Hyperlink" xfId="3550" builtinId="9" hidden="1"/>
    <cellStyle name="Followed Hyperlink" xfId="3552" builtinId="9" hidden="1"/>
    <cellStyle name="Followed Hyperlink" xfId="3554" builtinId="9" hidden="1"/>
    <cellStyle name="Followed Hyperlink" xfId="3556" builtinId="9" hidden="1"/>
    <cellStyle name="Followed Hyperlink" xfId="3558" builtinId="9" hidden="1"/>
    <cellStyle name="Followed Hyperlink" xfId="3560" builtinId="9" hidden="1"/>
    <cellStyle name="Followed Hyperlink" xfId="3562" builtinId="9" hidden="1"/>
    <cellStyle name="Followed Hyperlink" xfId="3564" builtinId="9" hidden="1"/>
    <cellStyle name="Followed Hyperlink" xfId="3566" builtinId="9" hidden="1"/>
    <cellStyle name="Followed Hyperlink" xfId="3568" builtinId="9" hidden="1"/>
    <cellStyle name="Followed Hyperlink" xfId="3570" builtinId="9" hidden="1"/>
    <cellStyle name="Followed Hyperlink" xfId="3572" builtinId="9" hidden="1"/>
    <cellStyle name="Followed Hyperlink" xfId="3574" builtinId="9" hidden="1"/>
    <cellStyle name="Followed Hyperlink" xfId="3576" builtinId="9" hidden="1"/>
    <cellStyle name="Followed Hyperlink" xfId="3578" builtinId="9" hidden="1"/>
    <cellStyle name="Followed Hyperlink" xfId="3580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3686" builtinId="9" hidden="1"/>
    <cellStyle name="Followed Hyperlink" xfId="3688" builtinId="9" hidden="1"/>
    <cellStyle name="Followed Hyperlink" xfId="3690" builtinId="9" hidden="1"/>
    <cellStyle name="Followed Hyperlink" xfId="3692" builtinId="9" hidden="1"/>
    <cellStyle name="Followed Hyperlink" xfId="3694" builtinId="9" hidden="1"/>
    <cellStyle name="Followed Hyperlink" xfId="3696" builtinId="9" hidden="1"/>
    <cellStyle name="Followed Hyperlink" xfId="3698" builtinId="9" hidden="1"/>
    <cellStyle name="Followed Hyperlink" xfId="3700" builtinId="9" hidden="1"/>
    <cellStyle name="Followed Hyperlink" xfId="3702" builtinId="9" hidden="1"/>
    <cellStyle name="Followed Hyperlink" xfId="3704" builtinId="9" hidden="1"/>
    <cellStyle name="Followed Hyperlink" xfId="3706" builtinId="9" hidden="1"/>
    <cellStyle name="Followed Hyperlink" xfId="3708" builtinId="9" hidden="1"/>
    <cellStyle name="Followed Hyperlink" xfId="3710" builtinId="9" hidden="1"/>
    <cellStyle name="Followed Hyperlink" xfId="3712" builtinId="9" hidden="1"/>
    <cellStyle name="Followed Hyperlink" xfId="3714" builtinId="9" hidden="1"/>
    <cellStyle name="Followed Hyperlink" xfId="3716" builtinId="9" hidden="1"/>
    <cellStyle name="Followed Hyperlink" xfId="3718" builtinId="9" hidden="1"/>
    <cellStyle name="Followed Hyperlink" xfId="3720" builtinId="9" hidden="1"/>
    <cellStyle name="Followed Hyperlink" xfId="3722" builtinId="9" hidden="1"/>
    <cellStyle name="Followed Hyperlink" xfId="3724" builtinId="9" hidden="1"/>
    <cellStyle name="Followed Hyperlink" xfId="3726" builtinId="9" hidden="1"/>
    <cellStyle name="Followed Hyperlink" xfId="3728" builtinId="9" hidden="1"/>
    <cellStyle name="Followed Hyperlink" xfId="3730" builtinId="9" hidden="1"/>
    <cellStyle name="Followed Hyperlink" xfId="3732" builtinId="9" hidden="1"/>
    <cellStyle name="Followed Hyperlink" xfId="3734" builtinId="9" hidden="1"/>
    <cellStyle name="Followed Hyperlink" xfId="3736" builtinId="9" hidden="1"/>
    <cellStyle name="Followed Hyperlink" xfId="3738" builtinId="9" hidden="1"/>
    <cellStyle name="Followed Hyperlink" xfId="3740" builtinId="9" hidden="1"/>
    <cellStyle name="Followed Hyperlink" xfId="3742" builtinId="9" hidden="1"/>
    <cellStyle name="Followed Hyperlink" xfId="3744" builtinId="9" hidden="1"/>
    <cellStyle name="Followed Hyperlink" xfId="3746" builtinId="9" hidden="1"/>
    <cellStyle name="Followed Hyperlink" xfId="3748" builtinId="9" hidden="1"/>
    <cellStyle name="Followed Hyperlink" xfId="3750" builtinId="9" hidden="1"/>
    <cellStyle name="Followed Hyperlink" xfId="3752" builtinId="9" hidden="1"/>
    <cellStyle name="Followed Hyperlink" xfId="3754" builtinId="9" hidden="1"/>
    <cellStyle name="Followed Hyperlink" xfId="3756" builtinId="9" hidden="1"/>
    <cellStyle name="Followed Hyperlink" xfId="3758" builtinId="9" hidden="1"/>
    <cellStyle name="Followed Hyperlink" xfId="3760" builtinId="9" hidden="1"/>
    <cellStyle name="Followed Hyperlink" xfId="3762" builtinId="9" hidden="1"/>
    <cellStyle name="Followed Hyperlink" xfId="3764" builtinId="9" hidden="1"/>
    <cellStyle name="Followed Hyperlink" xfId="3766" builtinId="9" hidden="1"/>
    <cellStyle name="Followed Hyperlink" xfId="3768" builtinId="9" hidden="1"/>
    <cellStyle name="Followed Hyperlink" xfId="3770" builtinId="9" hidden="1"/>
    <cellStyle name="Followed Hyperlink" xfId="3772" builtinId="9" hidden="1"/>
    <cellStyle name="Followed Hyperlink" xfId="3774" builtinId="9" hidden="1"/>
    <cellStyle name="Followed Hyperlink" xfId="3776" builtinId="9" hidden="1"/>
    <cellStyle name="Followed Hyperlink" xfId="3778" builtinId="9" hidden="1"/>
    <cellStyle name="Followed Hyperlink" xfId="3780" builtinId="9" hidden="1"/>
    <cellStyle name="Followed Hyperlink" xfId="3782" builtinId="9" hidden="1"/>
    <cellStyle name="Followed Hyperlink" xfId="3784" builtinId="9" hidden="1"/>
    <cellStyle name="Followed Hyperlink" xfId="3786" builtinId="9" hidden="1"/>
    <cellStyle name="Followed Hyperlink" xfId="3788" builtinId="9" hidden="1"/>
    <cellStyle name="Followed Hyperlink" xfId="3790" builtinId="9" hidden="1"/>
    <cellStyle name="Followed Hyperlink" xfId="3792" builtinId="9" hidden="1"/>
    <cellStyle name="Followed Hyperlink" xfId="3794" builtinId="9" hidden="1"/>
    <cellStyle name="Followed Hyperlink" xfId="3796" builtinId="9" hidden="1"/>
    <cellStyle name="Followed Hyperlink" xfId="3798" builtinId="9" hidden="1"/>
    <cellStyle name="Followed Hyperlink" xfId="3800" builtinId="9" hidden="1"/>
    <cellStyle name="Followed Hyperlink" xfId="3802" builtinId="9" hidden="1"/>
    <cellStyle name="Followed Hyperlink" xfId="3804" builtinId="9" hidden="1"/>
    <cellStyle name="Followed Hyperlink" xfId="3806" builtinId="9" hidden="1"/>
    <cellStyle name="Followed Hyperlink" xfId="3808" builtinId="9" hidden="1"/>
    <cellStyle name="Followed Hyperlink" xfId="3810" builtinId="9" hidden="1"/>
    <cellStyle name="Followed Hyperlink" xfId="3812" builtinId="9" hidden="1"/>
    <cellStyle name="Followed Hyperlink" xfId="3814" builtinId="9" hidden="1"/>
    <cellStyle name="Followed Hyperlink" xfId="3816" builtinId="9" hidden="1"/>
    <cellStyle name="Followed Hyperlink" xfId="3818" builtinId="9" hidden="1"/>
    <cellStyle name="Followed Hyperlink" xfId="3820" builtinId="9" hidden="1"/>
    <cellStyle name="Followed Hyperlink" xfId="3822" builtinId="9" hidden="1"/>
    <cellStyle name="Followed Hyperlink" xfId="3824" builtinId="9" hidden="1"/>
    <cellStyle name="Followed Hyperlink" xfId="3826" builtinId="9" hidden="1"/>
    <cellStyle name="Followed Hyperlink" xfId="3828" builtinId="9" hidden="1"/>
    <cellStyle name="Followed Hyperlink" xfId="3830" builtinId="9" hidden="1"/>
    <cellStyle name="Followed Hyperlink" xfId="3832" builtinId="9" hidden="1"/>
    <cellStyle name="Followed Hyperlink" xfId="3834" builtinId="9" hidden="1"/>
    <cellStyle name="Followed Hyperlink" xfId="3836" builtinId="9" hidden="1"/>
    <cellStyle name="Followed Hyperlink" xfId="3838" builtinId="9" hidden="1"/>
    <cellStyle name="Followed Hyperlink" xfId="3840" builtinId="9" hidden="1"/>
    <cellStyle name="Followed Hyperlink" xfId="3842" builtinId="9" hidden="1"/>
    <cellStyle name="Followed Hyperlink" xfId="3844" builtinId="9" hidden="1"/>
    <cellStyle name="Followed Hyperlink" xfId="3846" builtinId="9" hidden="1"/>
    <cellStyle name="Followed Hyperlink" xfId="3848" builtinId="9" hidden="1"/>
    <cellStyle name="Followed Hyperlink" xfId="3850" builtinId="9" hidden="1"/>
    <cellStyle name="Followed Hyperlink" xfId="3852" builtinId="9" hidden="1"/>
    <cellStyle name="Followed Hyperlink" xfId="3854" builtinId="9" hidden="1"/>
    <cellStyle name="Followed Hyperlink" xfId="3856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870" builtinId="9" hidden="1"/>
    <cellStyle name="Followed Hyperlink" xfId="3872" builtinId="9" hidden="1"/>
    <cellStyle name="Followed Hyperlink" xfId="3874" builtinId="9" hidden="1"/>
    <cellStyle name="Followed Hyperlink" xfId="3876" builtinId="9" hidden="1"/>
    <cellStyle name="Followed Hyperlink" xfId="3878" builtinId="9" hidden="1"/>
    <cellStyle name="Followed Hyperlink" xfId="3880" builtinId="9" hidden="1"/>
    <cellStyle name="Followed Hyperlink" xfId="3882" builtinId="9" hidden="1"/>
    <cellStyle name="Followed Hyperlink" xfId="3884" builtinId="9" hidden="1"/>
    <cellStyle name="Followed Hyperlink" xfId="3886" builtinId="9" hidden="1"/>
    <cellStyle name="Followed Hyperlink" xfId="3888" builtinId="9" hidden="1"/>
    <cellStyle name="Followed Hyperlink" xfId="3890" builtinId="9" hidden="1"/>
    <cellStyle name="Followed Hyperlink" xfId="3892" builtinId="9" hidden="1"/>
    <cellStyle name="Followed Hyperlink" xfId="3894" builtinId="9" hidden="1"/>
    <cellStyle name="Followed Hyperlink" xfId="3896" builtinId="9" hidden="1"/>
    <cellStyle name="Followed Hyperlink" xfId="3898" builtinId="9" hidden="1"/>
    <cellStyle name="Followed Hyperlink" xfId="3900" builtinId="9" hidden="1"/>
    <cellStyle name="Followed Hyperlink" xfId="3902" builtinId="9" hidden="1"/>
    <cellStyle name="Followed Hyperlink" xfId="3904" builtinId="9" hidden="1"/>
    <cellStyle name="Followed Hyperlink" xfId="3906" builtinId="9" hidden="1"/>
    <cellStyle name="Followed Hyperlink" xfId="3908" builtinId="9" hidden="1"/>
    <cellStyle name="Followed Hyperlink" xfId="3910" builtinId="9" hidden="1"/>
    <cellStyle name="Followed Hyperlink" xfId="3912" builtinId="9" hidden="1"/>
    <cellStyle name="Followed Hyperlink" xfId="3914" builtinId="9" hidden="1"/>
    <cellStyle name="Followed Hyperlink" xfId="3916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4022" builtinId="9" hidden="1"/>
    <cellStyle name="Followed Hyperlink" xfId="4024" builtinId="9" hidden="1"/>
    <cellStyle name="Followed Hyperlink" xfId="4026" builtinId="9" hidden="1"/>
    <cellStyle name="Followed Hyperlink" xfId="4028" builtinId="9" hidden="1"/>
    <cellStyle name="Followed Hyperlink" xfId="4030" builtinId="9" hidden="1"/>
    <cellStyle name="Followed Hyperlink" xfId="4032" builtinId="9" hidden="1"/>
    <cellStyle name="Followed Hyperlink" xfId="4034" builtinId="9" hidden="1"/>
    <cellStyle name="Followed Hyperlink" xfId="4036" builtinId="9" hidden="1"/>
    <cellStyle name="Followed Hyperlink" xfId="4038" builtinId="9" hidden="1"/>
    <cellStyle name="Followed Hyperlink" xfId="4040" builtinId="9" hidden="1"/>
    <cellStyle name="Followed Hyperlink" xfId="4042" builtinId="9" hidden="1"/>
    <cellStyle name="Followed Hyperlink" xfId="4044" builtinId="9" hidden="1"/>
    <cellStyle name="Followed Hyperlink" xfId="4046" builtinId="9" hidden="1"/>
    <cellStyle name="Followed Hyperlink" xfId="4048" builtinId="9" hidden="1"/>
    <cellStyle name="Followed Hyperlink" xfId="4050" builtinId="9" hidden="1"/>
    <cellStyle name="Followed Hyperlink" xfId="4052" builtinId="9" hidden="1"/>
    <cellStyle name="Followed Hyperlink" xfId="4054" builtinId="9" hidden="1"/>
    <cellStyle name="Followed Hyperlink" xfId="4056" builtinId="9" hidden="1"/>
    <cellStyle name="Followed Hyperlink" xfId="4058" builtinId="9" hidden="1"/>
    <cellStyle name="Followed Hyperlink" xfId="4060" builtinId="9" hidden="1"/>
    <cellStyle name="Followed Hyperlink" xfId="4062" builtinId="9" hidden="1"/>
    <cellStyle name="Followed Hyperlink" xfId="4064" builtinId="9" hidden="1"/>
    <cellStyle name="Followed Hyperlink" xfId="4066" builtinId="9" hidden="1"/>
    <cellStyle name="Followed Hyperlink" xfId="4068" builtinId="9" hidden="1"/>
    <cellStyle name="Followed Hyperlink" xfId="4070" builtinId="9" hidden="1"/>
    <cellStyle name="Followed Hyperlink" xfId="4072" builtinId="9" hidden="1"/>
    <cellStyle name="Followed Hyperlink" xfId="4074" builtinId="9" hidden="1"/>
    <cellStyle name="Followed Hyperlink" xfId="4076" builtinId="9" hidden="1"/>
    <cellStyle name="Followed Hyperlink" xfId="4078" builtinId="9" hidden="1"/>
    <cellStyle name="Followed Hyperlink" xfId="4080" builtinId="9" hidden="1"/>
    <cellStyle name="Followed Hyperlink" xfId="4082" builtinId="9" hidden="1"/>
    <cellStyle name="Followed Hyperlink" xfId="4084" builtinId="9" hidden="1"/>
    <cellStyle name="Followed Hyperlink" xfId="4086" builtinId="9" hidden="1"/>
    <cellStyle name="Followed Hyperlink" xfId="4088" builtinId="9" hidden="1"/>
    <cellStyle name="Followed Hyperlink" xfId="4090" builtinId="9" hidden="1"/>
    <cellStyle name="Followed Hyperlink" xfId="4092" builtinId="9" hidden="1"/>
    <cellStyle name="Followed Hyperlink" xfId="4094" builtinId="9" hidden="1"/>
    <cellStyle name="Followed Hyperlink" xfId="4096" builtinId="9" hidden="1"/>
    <cellStyle name="Followed Hyperlink" xfId="4098" builtinId="9" hidden="1"/>
    <cellStyle name="Followed Hyperlink" xfId="4100" builtinId="9" hidden="1"/>
    <cellStyle name="Followed Hyperlink" xfId="4102" builtinId="9" hidden="1"/>
    <cellStyle name="Followed Hyperlink" xfId="4104" builtinId="9" hidden="1"/>
    <cellStyle name="Followed Hyperlink" xfId="4106" builtinId="9" hidden="1"/>
    <cellStyle name="Followed Hyperlink" xfId="4108" builtinId="9" hidden="1"/>
    <cellStyle name="Followed Hyperlink" xfId="4110" builtinId="9" hidden="1"/>
    <cellStyle name="Followed Hyperlink" xfId="4112" builtinId="9" hidden="1"/>
    <cellStyle name="Followed Hyperlink" xfId="4114" builtinId="9" hidden="1"/>
    <cellStyle name="Followed Hyperlink" xfId="4116" builtinId="9" hidden="1"/>
    <cellStyle name="Followed Hyperlink" xfId="4118" builtinId="9" hidden="1"/>
    <cellStyle name="Followed Hyperlink" xfId="4120" builtinId="9" hidden="1"/>
    <cellStyle name="Followed Hyperlink" xfId="4122" builtinId="9" hidden="1"/>
    <cellStyle name="Followed Hyperlink" xfId="4124" builtinId="9" hidden="1"/>
    <cellStyle name="Followed Hyperlink" xfId="4126" builtinId="9" hidden="1"/>
    <cellStyle name="Followed Hyperlink" xfId="4128" builtinId="9" hidden="1"/>
    <cellStyle name="Followed Hyperlink" xfId="4130" builtinId="9" hidden="1"/>
    <cellStyle name="Followed Hyperlink" xfId="4132" builtinId="9" hidden="1"/>
    <cellStyle name="Followed Hyperlink" xfId="4134" builtinId="9" hidden="1"/>
    <cellStyle name="Followed Hyperlink" xfId="4136" builtinId="9" hidden="1"/>
    <cellStyle name="Followed Hyperlink" xfId="4138" builtinId="9" hidden="1"/>
    <cellStyle name="Followed Hyperlink" xfId="4140" builtinId="9" hidden="1"/>
    <cellStyle name="Followed Hyperlink" xfId="4142" builtinId="9" hidden="1"/>
    <cellStyle name="Followed Hyperlink" xfId="4144" builtinId="9" hidden="1"/>
    <cellStyle name="Followed Hyperlink" xfId="4146" builtinId="9" hidden="1"/>
    <cellStyle name="Followed Hyperlink" xfId="4148" builtinId="9" hidden="1"/>
    <cellStyle name="Followed Hyperlink" xfId="4150" builtinId="9" hidden="1"/>
    <cellStyle name="Followed Hyperlink" xfId="4152" builtinId="9" hidden="1"/>
    <cellStyle name="Followed Hyperlink" xfId="4154" builtinId="9" hidden="1"/>
    <cellStyle name="Followed Hyperlink" xfId="4156" builtinId="9" hidden="1"/>
    <cellStyle name="Followed Hyperlink" xfId="4158" builtinId="9" hidden="1"/>
    <cellStyle name="Followed Hyperlink" xfId="4160" builtinId="9" hidden="1"/>
    <cellStyle name="Followed Hyperlink" xfId="4162" builtinId="9" hidden="1"/>
    <cellStyle name="Followed Hyperlink" xfId="4164" builtinId="9" hidden="1"/>
    <cellStyle name="Followed Hyperlink" xfId="4166" builtinId="9" hidden="1"/>
    <cellStyle name="Followed Hyperlink" xfId="4168" builtinId="9" hidden="1"/>
    <cellStyle name="Followed Hyperlink" xfId="4170" builtinId="9" hidden="1"/>
    <cellStyle name="Followed Hyperlink" xfId="4172" builtinId="9" hidden="1"/>
    <cellStyle name="Followed Hyperlink" xfId="4174" builtinId="9" hidden="1"/>
    <cellStyle name="Followed Hyperlink" xfId="4176" builtinId="9" hidden="1"/>
    <cellStyle name="Followed Hyperlink" xfId="4178" builtinId="9" hidden="1"/>
    <cellStyle name="Followed Hyperlink" xfId="4180" builtinId="9" hidden="1"/>
    <cellStyle name="Followed Hyperlink" xfId="4182" builtinId="9" hidden="1"/>
    <cellStyle name="Followed Hyperlink" xfId="4184" builtinId="9" hidden="1"/>
    <cellStyle name="Followed Hyperlink" xfId="4186" builtinId="9" hidden="1"/>
    <cellStyle name="Followed Hyperlink" xfId="4188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02" builtinId="9" hidden="1"/>
    <cellStyle name="Followed Hyperlink" xfId="4204" builtinId="9" hidden="1"/>
    <cellStyle name="Followed Hyperlink" xfId="4206" builtinId="9" hidden="1"/>
    <cellStyle name="Followed Hyperlink" xfId="4208" builtinId="9" hidden="1"/>
    <cellStyle name="Followed Hyperlink" xfId="4210" builtinId="9" hidden="1"/>
    <cellStyle name="Followed Hyperlink" xfId="4212" builtinId="9" hidden="1"/>
    <cellStyle name="Followed Hyperlink" xfId="4214" builtinId="9" hidden="1"/>
    <cellStyle name="Followed Hyperlink" xfId="4216" builtinId="9" hidden="1"/>
    <cellStyle name="Followed Hyperlink" xfId="4218" builtinId="9" hidden="1"/>
    <cellStyle name="Followed Hyperlink" xfId="4220" builtinId="9" hidden="1"/>
    <cellStyle name="Followed Hyperlink" xfId="4222" builtinId="9" hidden="1"/>
    <cellStyle name="Followed Hyperlink" xfId="4224" builtinId="9" hidden="1"/>
    <cellStyle name="Followed Hyperlink" xfId="4226" builtinId="9" hidden="1"/>
    <cellStyle name="Followed Hyperlink" xfId="4228" builtinId="9" hidden="1"/>
    <cellStyle name="Followed Hyperlink" xfId="4230" builtinId="9" hidden="1"/>
    <cellStyle name="Followed Hyperlink" xfId="4232" builtinId="9" hidden="1"/>
    <cellStyle name="Followed Hyperlink" xfId="4234" builtinId="9" hidden="1"/>
    <cellStyle name="Followed Hyperlink" xfId="4236" builtinId="9" hidden="1"/>
    <cellStyle name="Followed Hyperlink" xfId="4238" builtinId="9" hidden="1"/>
    <cellStyle name="Followed Hyperlink" xfId="4240" builtinId="9" hidden="1"/>
    <cellStyle name="Followed Hyperlink" xfId="4242" builtinId="9" hidden="1"/>
    <cellStyle name="Followed Hyperlink" xfId="4244" builtinId="9" hidden="1"/>
    <cellStyle name="Followed Hyperlink" xfId="4246" builtinId="9" hidden="1"/>
    <cellStyle name="Followed Hyperlink" xfId="4248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4354" builtinId="9" hidden="1"/>
    <cellStyle name="Followed Hyperlink" xfId="4356" builtinId="9" hidden="1"/>
    <cellStyle name="Followed Hyperlink" xfId="4358" builtinId="9" hidden="1"/>
    <cellStyle name="Followed Hyperlink" xfId="4360" builtinId="9" hidden="1"/>
    <cellStyle name="Followed Hyperlink" xfId="4362" builtinId="9" hidden="1"/>
    <cellStyle name="Followed Hyperlink" xfId="4364" builtinId="9" hidden="1"/>
    <cellStyle name="Followed Hyperlink" xfId="4366" builtinId="9" hidden="1"/>
    <cellStyle name="Followed Hyperlink" xfId="4368" builtinId="9" hidden="1"/>
    <cellStyle name="Followed Hyperlink" xfId="4370" builtinId="9" hidden="1"/>
    <cellStyle name="Followed Hyperlink" xfId="4372" builtinId="9" hidden="1"/>
    <cellStyle name="Followed Hyperlink" xfId="4374" builtinId="9" hidden="1"/>
    <cellStyle name="Followed Hyperlink" xfId="4376" builtinId="9" hidden="1"/>
    <cellStyle name="Followed Hyperlink" xfId="4378" builtinId="9" hidden="1"/>
    <cellStyle name="Followed Hyperlink" xfId="4380" builtinId="9" hidden="1"/>
    <cellStyle name="Followed Hyperlink" xfId="4382" builtinId="9" hidden="1"/>
    <cellStyle name="Followed Hyperlink" xfId="4384" builtinId="9" hidden="1"/>
    <cellStyle name="Followed Hyperlink" xfId="4386" builtinId="9" hidden="1"/>
    <cellStyle name="Followed Hyperlink" xfId="4388" builtinId="9" hidden="1"/>
    <cellStyle name="Followed Hyperlink" xfId="4390" builtinId="9" hidden="1"/>
    <cellStyle name="Followed Hyperlink" xfId="4392" builtinId="9" hidden="1"/>
    <cellStyle name="Followed Hyperlink" xfId="4394" builtinId="9" hidden="1"/>
    <cellStyle name="Followed Hyperlink" xfId="4396" builtinId="9" hidden="1"/>
    <cellStyle name="Followed Hyperlink" xfId="4398" builtinId="9" hidden="1"/>
    <cellStyle name="Followed Hyperlink" xfId="4400" builtinId="9" hidden="1"/>
    <cellStyle name="Followed Hyperlink" xfId="4402" builtinId="9" hidden="1"/>
    <cellStyle name="Followed Hyperlink" xfId="4404" builtinId="9" hidden="1"/>
    <cellStyle name="Followed Hyperlink" xfId="4406" builtinId="9" hidden="1"/>
    <cellStyle name="Followed Hyperlink" xfId="4408" builtinId="9" hidden="1"/>
    <cellStyle name="Followed Hyperlink" xfId="4410" builtinId="9" hidden="1"/>
    <cellStyle name="Followed Hyperlink" xfId="4412" builtinId="9" hidden="1"/>
    <cellStyle name="Followed Hyperlink" xfId="4414" builtinId="9" hidden="1"/>
    <cellStyle name="Followed Hyperlink" xfId="4416" builtinId="9" hidden="1"/>
    <cellStyle name="Followed Hyperlink" xfId="4418" builtinId="9" hidden="1"/>
    <cellStyle name="Followed Hyperlink" xfId="4420" builtinId="9" hidden="1"/>
    <cellStyle name="Followed Hyperlink" xfId="4422" builtinId="9" hidden="1"/>
    <cellStyle name="Followed Hyperlink" xfId="4424" builtinId="9" hidden="1"/>
    <cellStyle name="Followed Hyperlink" xfId="4426" builtinId="9" hidden="1"/>
    <cellStyle name="Followed Hyperlink" xfId="4428" builtinId="9" hidden="1"/>
    <cellStyle name="Followed Hyperlink" xfId="4430" builtinId="9" hidden="1"/>
    <cellStyle name="Followed Hyperlink" xfId="4432" builtinId="9" hidden="1"/>
    <cellStyle name="Followed Hyperlink" xfId="4434" builtinId="9" hidden="1"/>
    <cellStyle name="Followed Hyperlink" xfId="4436" builtinId="9" hidden="1"/>
    <cellStyle name="Followed Hyperlink" xfId="4438" builtinId="9" hidden="1"/>
    <cellStyle name="Followed Hyperlink" xfId="4440" builtinId="9" hidden="1"/>
    <cellStyle name="Followed Hyperlink" xfId="4442" builtinId="9" hidden="1"/>
    <cellStyle name="Followed Hyperlink" xfId="4444" builtinId="9" hidden="1"/>
    <cellStyle name="Followed Hyperlink" xfId="4446" builtinId="9" hidden="1"/>
    <cellStyle name="Followed Hyperlink" xfId="4448" builtinId="9" hidden="1"/>
    <cellStyle name="Followed Hyperlink" xfId="4450" builtinId="9" hidden="1"/>
    <cellStyle name="Followed Hyperlink" xfId="4452" builtinId="9" hidden="1"/>
    <cellStyle name="Followed Hyperlink" xfId="4454" builtinId="9" hidden="1"/>
    <cellStyle name="Followed Hyperlink" xfId="4456" builtinId="9" hidden="1"/>
    <cellStyle name="Followed Hyperlink" xfId="4458" builtinId="9" hidden="1"/>
    <cellStyle name="Followed Hyperlink" xfId="4460" builtinId="9" hidden="1"/>
    <cellStyle name="Followed Hyperlink" xfId="4462" builtinId="9" hidden="1"/>
    <cellStyle name="Followed Hyperlink" xfId="4464" builtinId="9" hidden="1"/>
    <cellStyle name="Followed Hyperlink" xfId="4466" builtinId="9" hidden="1"/>
    <cellStyle name="Followed Hyperlink" xfId="4468" builtinId="9" hidden="1"/>
    <cellStyle name="Followed Hyperlink" xfId="4470" builtinId="9" hidden="1"/>
    <cellStyle name="Followed Hyperlink" xfId="4472" builtinId="9" hidden="1"/>
    <cellStyle name="Followed Hyperlink" xfId="4474" builtinId="9" hidden="1"/>
    <cellStyle name="Followed Hyperlink" xfId="4476" builtinId="9" hidden="1"/>
    <cellStyle name="Followed Hyperlink" xfId="4478" builtinId="9" hidden="1"/>
    <cellStyle name="Followed Hyperlink" xfId="4480" builtinId="9" hidden="1"/>
    <cellStyle name="Followed Hyperlink" xfId="4482" builtinId="9" hidden="1"/>
    <cellStyle name="Followed Hyperlink" xfId="4484" builtinId="9" hidden="1"/>
    <cellStyle name="Followed Hyperlink" xfId="4486" builtinId="9" hidden="1"/>
    <cellStyle name="Followed Hyperlink" xfId="4488" builtinId="9" hidden="1"/>
    <cellStyle name="Followed Hyperlink" xfId="4490" builtinId="9" hidden="1"/>
    <cellStyle name="Followed Hyperlink" xfId="4492" builtinId="9" hidden="1"/>
    <cellStyle name="Followed Hyperlink" xfId="4494" builtinId="9" hidden="1"/>
    <cellStyle name="Followed Hyperlink" xfId="4496" builtinId="9" hidden="1"/>
    <cellStyle name="Followed Hyperlink" xfId="4498" builtinId="9" hidden="1"/>
    <cellStyle name="Followed Hyperlink" xfId="4500" builtinId="9" hidden="1"/>
    <cellStyle name="Followed Hyperlink" xfId="4502" builtinId="9" hidden="1"/>
    <cellStyle name="Followed Hyperlink" xfId="4504" builtinId="9" hidden="1"/>
    <cellStyle name="Followed Hyperlink" xfId="4506" builtinId="9" hidden="1"/>
    <cellStyle name="Followed Hyperlink" xfId="4508" builtinId="9" hidden="1"/>
    <cellStyle name="Followed Hyperlink" xfId="4510" builtinId="9" hidden="1"/>
    <cellStyle name="Followed Hyperlink" xfId="4512" builtinId="9" hidden="1"/>
    <cellStyle name="Followed Hyperlink" xfId="4514" builtinId="9" hidden="1"/>
    <cellStyle name="Followed Hyperlink" xfId="4516" builtinId="9" hidden="1"/>
    <cellStyle name="Followed Hyperlink" xfId="4518" builtinId="9" hidden="1"/>
    <cellStyle name="Followed Hyperlink" xfId="4520" builtinId="9" hidden="1"/>
    <cellStyle name="Followed Hyperlink" xfId="4522" builtinId="9" hidden="1"/>
    <cellStyle name="Followed Hyperlink" xfId="4524" builtinId="9" hidden="1"/>
    <cellStyle name="Followed Hyperlink" xfId="4526" builtinId="9" hidden="1"/>
    <cellStyle name="Followed Hyperlink" xfId="4528" builtinId="9" hidden="1"/>
    <cellStyle name="Followed Hyperlink" xfId="4530" builtinId="9" hidden="1"/>
    <cellStyle name="Followed Hyperlink" xfId="4532" builtinId="9" hidden="1"/>
    <cellStyle name="Followed Hyperlink" xfId="4534" builtinId="9" hidden="1"/>
    <cellStyle name="Followed Hyperlink" xfId="4536" builtinId="9" hidden="1"/>
    <cellStyle name="Followed Hyperlink" xfId="4538" builtinId="9" hidden="1"/>
    <cellStyle name="Followed Hyperlink" xfId="4540" builtinId="9" hidden="1"/>
    <cellStyle name="Followed Hyperlink" xfId="4542" builtinId="9" hidden="1"/>
    <cellStyle name="Followed Hyperlink" xfId="4544" builtinId="9" hidden="1"/>
    <cellStyle name="Followed Hyperlink" xfId="4546" builtinId="9" hidden="1"/>
    <cellStyle name="Followed Hyperlink" xfId="4548" builtinId="9" hidden="1"/>
    <cellStyle name="Followed Hyperlink" xfId="4550" builtinId="9" hidden="1"/>
    <cellStyle name="Followed Hyperlink" xfId="4552" builtinId="9" hidden="1"/>
    <cellStyle name="Followed Hyperlink" xfId="4554" builtinId="9" hidden="1"/>
    <cellStyle name="Followed Hyperlink" xfId="4556" builtinId="9" hidden="1"/>
    <cellStyle name="Followed Hyperlink" xfId="4558" builtinId="9" hidden="1"/>
    <cellStyle name="Followed Hyperlink" xfId="4560" builtinId="9" hidden="1"/>
    <cellStyle name="Followed Hyperlink" xfId="4562" builtinId="9" hidden="1"/>
    <cellStyle name="Followed Hyperlink" xfId="4564" builtinId="9" hidden="1"/>
    <cellStyle name="Followed Hyperlink" xfId="4566" builtinId="9" hidden="1"/>
    <cellStyle name="Followed Hyperlink" xfId="4568" builtinId="9" hidden="1"/>
    <cellStyle name="Followed Hyperlink" xfId="4570" builtinId="9" hidden="1"/>
    <cellStyle name="Followed Hyperlink" xfId="4572" builtinId="9" hidden="1"/>
    <cellStyle name="Followed Hyperlink" xfId="4574" builtinId="9" hidden="1"/>
    <cellStyle name="Followed Hyperlink" xfId="4576" builtinId="9" hidden="1"/>
    <cellStyle name="Followed Hyperlink" xfId="4578" builtinId="9" hidden="1"/>
    <cellStyle name="Followed Hyperlink" xfId="4580" builtinId="9" hidden="1"/>
    <cellStyle name="Followed Hyperlink" xfId="4582" builtinId="9" hidden="1"/>
    <cellStyle name="Followed Hyperlink" xfId="4584" builtinId="9" hidden="1"/>
    <cellStyle name="Followed Hyperlink" xfId="4586" builtinId="9" hidden="1"/>
    <cellStyle name="Followed Hyperlink" xfId="4588" builtinId="9" hidden="1"/>
    <cellStyle name="Followed Hyperlink" xfId="4590" builtinId="9" hidden="1"/>
    <cellStyle name="Followed Hyperlink" xfId="4592" builtinId="9" hidden="1"/>
    <cellStyle name="Followed Hyperlink" xfId="4594" builtinId="9" hidden="1"/>
    <cellStyle name="Followed Hyperlink" xfId="4596" builtinId="9" hidden="1"/>
    <cellStyle name="Followed Hyperlink" xfId="4598" builtinId="9" hidden="1"/>
    <cellStyle name="Followed Hyperlink" xfId="4600" builtinId="9" hidden="1"/>
    <cellStyle name="Followed Hyperlink" xfId="4602" builtinId="9" hidden="1"/>
    <cellStyle name="Followed Hyperlink" xfId="4604" builtinId="9" hidden="1"/>
    <cellStyle name="Followed Hyperlink" xfId="4606" builtinId="9" hidden="1"/>
    <cellStyle name="Followed Hyperlink" xfId="4608" builtinId="9" hidden="1"/>
    <cellStyle name="Followed Hyperlink" xfId="4610" builtinId="9" hidden="1"/>
    <cellStyle name="Followed Hyperlink" xfId="4612" builtinId="9" hidden="1"/>
    <cellStyle name="Followed Hyperlink" xfId="4614" builtinId="9" hidden="1"/>
    <cellStyle name="Followed Hyperlink" xfId="4616" builtinId="9" hidden="1"/>
    <cellStyle name="Followed Hyperlink" xfId="4618" builtinId="9" hidden="1"/>
    <cellStyle name="Followed Hyperlink" xfId="4620" builtinId="9" hidden="1"/>
    <cellStyle name="Followed Hyperlink" xfId="4622" builtinId="9" hidden="1"/>
    <cellStyle name="Followed Hyperlink" xfId="4624" builtinId="9" hidden="1"/>
    <cellStyle name="Followed Hyperlink" xfId="4626" builtinId="9" hidden="1"/>
    <cellStyle name="Followed Hyperlink" xfId="4628" builtinId="9" hidden="1"/>
    <cellStyle name="Followed Hyperlink" xfId="4630" builtinId="9" hidden="1"/>
    <cellStyle name="Followed Hyperlink" xfId="4632" builtinId="9" hidden="1"/>
    <cellStyle name="Followed Hyperlink" xfId="4634" builtinId="9" hidden="1"/>
    <cellStyle name="Followed Hyperlink" xfId="4636" builtinId="9" hidden="1"/>
    <cellStyle name="Followed Hyperlink" xfId="4638" builtinId="9" hidden="1"/>
    <cellStyle name="Followed Hyperlink" xfId="4640" builtinId="9" hidden="1"/>
    <cellStyle name="Followed Hyperlink" xfId="4642" builtinId="9" hidden="1"/>
    <cellStyle name="Followed Hyperlink" xfId="4644" builtinId="9" hidden="1"/>
    <cellStyle name="Followed Hyperlink" xfId="4646" builtinId="9" hidden="1"/>
    <cellStyle name="Followed Hyperlink" xfId="4648" builtinId="9" hidden="1"/>
    <cellStyle name="Followed Hyperlink" xfId="4650" builtinId="9" hidden="1"/>
    <cellStyle name="Followed Hyperlink" xfId="4652" builtinId="9" hidden="1"/>
    <cellStyle name="Followed Hyperlink" xfId="4654" builtinId="9" hidden="1"/>
    <cellStyle name="Followed Hyperlink" xfId="4656" builtinId="9" hidden="1"/>
    <cellStyle name="Followed Hyperlink" xfId="4658" builtinId="9" hidden="1"/>
    <cellStyle name="Followed Hyperlink" xfId="4660" builtinId="9" hidden="1"/>
    <cellStyle name="Followed Hyperlink" xfId="4662" builtinId="9" hidden="1"/>
    <cellStyle name="Followed Hyperlink" xfId="4664" builtinId="9" hidden="1"/>
    <cellStyle name="Followed Hyperlink" xfId="4666" builtinId="9" hidden="1"/>
    <cellStyle name="Followed Hyperlink" xfId="4668" builtinId="9" hidden="1"/>
    <cellStyle name="Followed Hyperlink" xfId="4670" builtinId="9" hidden="1"/>
    <cellStyle name="Followed Hyperlink" xfId="4672" builtinId="9" hidden="1"/>
    <cellStyle name="Followed Hyperlink" xfId="4674" builtinId="9" hidden="1"/>
    <cellStyle name="Followed Hyperlink" xfId="4676" builtinId="9" hidden="1"/>
    <cellStyle name="Followed Hyperlink" xfId="4678" builtinId="9" hidden="1"/>
    <cellStyle name="Followed Hyperlink" xfId="4680" builtinId="9" hidden="1"/>
    <cellStyle name="Followed Hyperlink" xfId="4682" builtinId="9" hidden="1"/>
    <cellStyle name="Followed Hyperlink" xfId="4684" builtinId="9" hidden="1"/>
    <cellStyle name="Followed Hyperlink" xfId="4686" builtinId="9" hidden="1"/>
    <cellStyle name="Followed Hyperlink" xfId="4688" builtinId="9" hidden="1"/>
    <cellStyle name="Followed Hyperlink" xfId="4690" builtinId="9" hidden="1"/>
    <cellStyle name="Followed Hyperlink" xfId="4692" builtinId="9" hidden="1"/>
    <cellStyle name="Followed Hyperlink" xfId="4694" builtinId="9" hidden="1"/>
    <cellStyle name="Followed Hyperlink" xfId="4696" builtinId="9" hidden="1"/>
    <cellStyle name="Followed Hyperlink" xfId="4698" builtinId="9" hidden="1"/>
    <cellStyle name="Followed Hyperlink" xfId="4700" builtinId="9" hidden="1"/>
    <cellStyle name="Followed Hyperlink" xfId="4702" builtinId="9" hidden="1"/>
    <cellStyle name="Followed Hyperlink" xfId="4704" builtinId="9" hidden="1"/>
    <cellStyle name="Followed Hyperlink" xfId="4706" builtinId="9" hidden="1"/>
    <cellStyle name="Followed Hyperlink" xfId="4708" builtinId="9" hidden="1"/>
    <cellStyle name="Followed Hyperlink" xfId="4710" builtinId="9" hidden="1"/>
    <cellStyle name="Followed Hyperlink" xfId="4712" builtinId="9" hidden="1"/>
    <cellStyle name="Followed Hyperlink" xfId="4714" builtinId="9" hidden="1"/>
    <cellStyle name="Followed Hyperlink" xfId="4716" builtinId="9" hidden="1"/>
    <cellStyle name="Followed Hyperlink" xfId="4718" builtinId="9" hidden="1"/>
    <cellStyle name="Followed Hyperlink" xfId="4720" builtinId="9" hidden="1"/>
    <cellStyle name="Followed Hyperlink" xfId="4722" builtinId="9" hidden="1"/>
    <cellStyle name="Followed Hyperlink" xfId="4724" builtinId="9" hidden="1"/>
    <cellStyle name="Followed Hyperlink" xfId="4726" builtinId="9" hidden="1"/>
    <cellStyle name="Followed Hyperlink" xfId="4728" builtinId="9" hidden="1"/>
    <cellStyle name="Followed Hyperlink" xfId="4730" builtinId="9" hidden="1"/>
    <cellStyle name="Followed Hyperlink" xfId="4732" builtinId="9" hidden="1"/>
    <cellStyle name="Followed Hyperlink" xfId="4734" builtinId="9" hidden="1"/>
    <cellStyle name="Followed Hyperlink" xfId="4736" builtinId="9" hidden="1"/>
    <cellStyle name="Followed Hyperlink" xfId="4738" builtinId="9" hidden="1"/>
    <cellStyle name="Followed Hyperlink" xfId="4740" builtinId="9" hidden="1"/>
    <cellStyle name="Followed Hyperlink" xfId="4742" builtinId="9" hidden="1"/>
    <cellStyle name="Followed Hyperlink" xfId="4744" builtinId="9" hidden="1"/>
    <cellStyle name="Followed Hyperlink" xfId="4746" builtinId="9" hidden="1"/>
    <cellStyle name="Followed Hyperlink" xfId="4748" builtinId="9" hidden="1"/>
    <cellStyle name="Followed Hyperlink" xfId="4750" builtinId="9" hidden="1"/>
    <cellStyle name="Followed Hyperlink" xfId="4752" builtinId="9" hidden="1"/>
    <cellStyle name="Followed Hyperlink" xfId="4754" builtinId="9" hidden="1"/>
    <cellStyle name="Followed Hyperlink" xfId="4756" builtinId="9" hidden="1"/>
    <cellStyle name="Followed Hyperlink" xfId="4758" builtinId="9" hidden="1"/>
    <cellStyle name="Followed Hyperlink" xfId="4760" builtinId="9" hidden="1"/>
    <cellStyle name="Followed Hyperlink" xfId="4762" builtinId="9" hidden="1"/>
    <cellStyle name="Followed Hyperlink" xfId="4764" builtinId="9" hidden="1"/>
    <cellStyle name="Followed Hyperlink" xfId="4766" builtinId="9" hidden="1"/>
    <cellStyle name="Followed Hyperlink" xfId="4768" builtinId="9" hidden="1"/>
    <cellStyle name="Followed Hyperlink" xfId="4770" builtinId="9" hidden="1"/>
    <cellStyle name="Followed Hyperlink" xfId="4772" builtinId="9" hidden="1"/>
    <cellStyle name="Followed Hyperlink" xfId="4774" builtinId="9" hidden="1"/>
    <cellStyle name="Followed Hyperlink" xfId="4776" builtinId="9" hidden="1"/>
    <cellStyle name="Followed Hyperlink" xfId="4778" builtinId="9" hidden="1"/>
    <cellStyle name="Followed Hyperlink" xfId="4780" builtinId="9" hidden="1"/>
    <cellStyle name="Followed Hyperlink" xfId="4782" builtinId="9" hidden="1"/>
    <cellStyle name="Followed Hyperlink" xfId="4784" builtinId="9" hidden="1"/>
    <cellStyle name="Followed Hyperlink" xfId="4786" builtinId="9" hidden="1"/>
    <cellStyle name="Followed Hyperlink" xfId="4788" builtinId="9" hidden="1"/>
    <cellStyle name="Followed Hyperlink" xfId="4790" builtinId="9" hidden="1"/>
    <cellStyle name="Followed Hyperlink" xfId="4792" builtinId="9" hidden="1"/>
    <cellStyle name="Followed Hyperlink" xfId="4794" builtinId="9" hidden="1"/>
    <cellStyle name="Followed Hyperlink" xfId="4796" builtinId="9" hidden="1"/>
    <cellStyle name="Followed Hyperlink" xfId="4798" builtinId="9" hidden="1"/>
    <cellStyle name="Followed Hyperlink" xfId="4800" builtinId="9" hidden="1"/>
    <cellStyle name="Followed Hyperlink" xfId="4802" builtinId="9" hidden="1"/>
    <cellStyle name="Followed Hyperlink" xfId="4804" builtinId="9" hidden="1"/>
    <cellStyle name="Followed Hyperlink" xfId="4806" builtinId="9" hidden="1"/>
    <cellStyle name="Followed Hyperlink" xfId="4808" builtinId="9" hidden="1"/>
    <cellStyle name="Followed Hyperlink" xfId="4810" builtinId="9" hidden="1"/>
    <cellStyle name="Followed Hyperlink" xfId="4812" builtinId="9" hidden="1"/>
    <cellStyle name="Followed Hyperlink" xfId="4815" builtinId="9" hidden="1"/>
    <cellStyle name="Followed Hyperlink" xfId="4817" builtinId="9" hidden="1"/>
    <cellStyle name="Followed Hyperlink" xfId="4819" builtinId="9" hidden="1"/>
    <cellStyle name="Followed Hyperlink" xfId="4821" builtinId="9" hidden="1"/>
    <cellStyle name="Followed Hyperlink" xfId="4823" builtinId="9" hidden="1"/>
    <cellStyle name="Followed Hyperlink" xfId="4825" builtinId="9" hidden="1"/>
    <cellStyle name="Followed Hyperlink" xfId="4827" builtinId="9" hidden="1"/>
    <cellStyle name="Followed Hyperlink" xfId="4829" builtinId="9" hidden="1"/>
    <cellStyle name="Followed Hyperlink" xfId="4831" builtinId="9" hidden="1"/>
    <cellStyle name="Followed Hyperlink" xfId="4833" builtinId="9" hidden="1"/>
    <cellStyle name="Followed Hyperlink" xfId="4835" builtinId="9" hidden="1"/>
    <cellStyle name="Followed Hyperlink" xfId="4837" builtinId="9" hidden="1"/>
    <cellStyle name="Followed Hyperlink" xfId="4839" builtinId="9" hidden="1"/>
    <cellStyle name="Followed Hyperlink" xfId="4841" builtinId="9" hidden="1"/>
    <cellStyle name="Followed Hyperlink" xfId="4843" builtinId="9" hidden="1"/>
    <cellStyle name="Followed Hyperlink" xfId="4845" builtinId="9" hidden="1"/>
    <cellStyle name="Followed Hyperlink" xfId="4847" builtinId="9" hidden="1"/>
    <cellStyle name="Followed Hyperlink" xfId="4849" builtinId="9" hidden="1"/>
    <cellStyle name="Followed Hyperlink" xfId="4851" builtinId="9" hidden="1"/>
    <cellStyle name="Followed Hyperlink" xfId="4853" builtinId="9" hidden="1"/>
    <cellStyle name="Followed Hyperlink" xfId="4855" builtinId="9" hidden="1"/>
    <cellStyle name="Followed Hyperlink" xfId="4857" builtinId="9" hidden="1"/>
    <cellStyle name="Followed Hyperlink" xfId="4859" builtinId="9" hidden="1"/>
    <cellStyle name="Followed Hyperlink" xfId="4861" builtinId="9" hidden="1"/>
    <cellStyle name="Followed Hyperlink" xfId="4863" builtinId="9" hidden="1"/>
    <cellStyle name="Followed Hyperlink" xfId="4865" builtinId="9" hidden="1"/>
    <cellStyle name="Followed Hyperlink" xfId="4867" builtinId="9" hidden="1"/>
    <cellStyle name="Followed Hyperlink" xfId="4869" builtinId="9" hidden="1"/>
    <cellStyle name="Followed Hyperlink" xfId="4871" builtinId="9" hidden="1"/>
    <cellStyle name="Followed Hyperlink" xfId="4873" builtinId="9" hidden="1"/>
    <cellStyle name="Followed Hyperlink" xfId="4875" builtinId="9" hidden="1"/>
    <cellStyle name="Followed Hyperlink" xfId="4877" builtinId="9" hidden="1"/>
    <cellStyle name="Followed Hyperlink" xfId="4879" builtinId="9" hidden="1"/>
    <cellStyle name="Followed Hyperlink" xfId="4881" builtinId="9" hidden="1"/>
    <cellStyle name="Followed Hyperlink" xfId="4883" builtinId="9" hidden="1"/>
    <cellStyle name="Followed Hyperlink" xfId="4885" builtinId="9" hidden="1"/>
    <cellStyle name="Followed Hyperlink" xfId="4887" builtinId="9" hidden="1"/>
    <cellStyle name="Followed Hyperlink" xfId="4889" builtinId="9" hidden="1"/>
    <cellStyle name="Followed Hyperlink" xfId="4891" builtinId="9" hidden="1"/>
    <cellStyle name="Followed Hyperlink" xfId="4893" builtinId="9" hidden="1"/>
    <cellStyle name="Followed Hyperlink" xfId="4895" builtinId="9" hidden="1"/>
    <cellStyle name="Followed Hyperlink" xfId="4897" builtinId="9" hidden="1"/>
    <cellStyle name="Followed Hyperlink" xfId="4899" builtinId="9" hidden="1"/>
    <cellStyle name="Followed Hyperlink" xfId="4901" builtinId="9" hidden="1"/>
    <cellStyle name="Followed Hyperlink" xfId="4903" builtinId="9" hidden="1"/>
    <cellStyle name="Followed Hyperlink" xfId="4905" builtinId="9" hidden="1"/>
    <cellStyle name="Followed Hyperlink" xfId="4907" builtinId="9" hidden="1"/>
    <cellStyle name="Followed Hyperlink" xfId="490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Hyperlink" xfId="2871" builtinId="8" hidden="1"/>
    <cellStyle name="Hyperlink" xfId="2873" builtinId="8" hidden="1"/>
    <cellStyle name="Hyperlink" xfId="2875" builtinId="8" hidden="1"/>
    <cellStyle name="Hyperlink" xfId="2877" builtinId="8" hidden="1"/>
    <cellStyle name="Hyperlink" xfId="2879" builtinId="8" hidden="1"/>
    <cellStyle name="Hyperlink" xfId="2881" builtinId="8" hidden="1"/>
    <cellStyle name="Hyperlink" xfId="2883" builtinId="8" hidden="1"/>
    <cellStyle name="Hyperlink" xfId="2885" builtinId="8" hidden="1"/>
    <cellStyle name="Hyperlink" xfId="2887" builtinId="8" hidden="1"/>
    <cellStyle name="Hyperlink" xfId="2889" builtinId="8" hidden="1"/>
    <cellStyle name="Hyperlink" xfId="2891" builtinId="8" hidden="1"/>
    <cellStyle name="Hyperlink" xfId="2893" builtinId="8" hidden="1"/>
    <cellStyle name="Hyperlink" xfId="2895" builtinId="8" hidden="1"/>
    <cellStyle name="Hyperlink" xfId="2897" builtinId="8" hidden="1"/>
    <cellStyle name="Hyperlink" xfId="2899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19" builtinId="8" hidden="1"/>
    <cellStyle name="Hyperlink" xfId="3021" builtinId="8" hidden="1"/>
    <cellStyle name="Hyperlink" xfId="3023" builtinId="8" hidden="1"/>
    <cellStyle name="Hyperlink" xfId="3025" builtinId="8" hidden="1"/>
    <cellStyle name="Hyperlink" xfId="3027" builtinId="8" hidden="1"/>
    <cellStyle name="Hyperlink" xfId="3029" builtinId="8" hidden="1"/>
    <cellStyle name="Hyperlink" xfId="3031" builtinId="8" hidden="1"/>
    <cellStyle name="Hyperlink" xfId="3033" builtinId="8" hidden="1"/>
    <cellStyle name="Hyperlink" xfId="3035" builtinId="8" hidden="1"/>
    <cellStyle name="Hyperlink" xfId="3037" builtinId="8" hidden="1"/>
    <cellStyle name="Hyperlink" xfId="3039" builtinId="8" hidden="1"/>
    <cellStyle name="Hyperlink" xfId="3041" builtinId="8" hidden="1"/>
    <cellStyle name="Hyperlink" xfId="3043" builtinId="8" hidden="1"/>
    <cellStyle name="Hyperlink" xfId="3045" builtinId="8" hidden="1"/>
    <cellStyle name="Hyperlink" xfId="3047" builtinId="8" hidden="1"/>
    <cellStyle name="Hyperlink" xfId="3049" builtinId="8" hidden="1"/>
    <cellStyle name="Hyperlink" xfId="3051" builtinId="8" hidden="1"/>
    <cellStyle name="Hyperlink" xfId="3053" builtinId="8" hidden="1"/>
    <cellStyle name="Hyperlink" xfId="3055" builtinId="8" hidden="1"/>
    <cellStyle name="Hyperlink" xfId="3057" builtinId="8" hidden="1"/>
    <cellStyle name="Hyperlink" xfId="3059" builtinId="8" hidden="1"/>
    <cellStyle name="Hyperlink" xfId="3061" builtinId="8" hidden="1"/>
    <cellStyle name="Hyperlink" xfId="3063" builtinId="8" hidden="1"/>
    <cellStyle name="Hyperlink" xfId="3065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175" builtinId="8" hidden="1"/>
    <cellStyle name="Hyperlink" xfId="3177" builtinId="8" hidden="1"/>
    <cellStyle name="Hyperlink" xfId="3179" builtinId="8" hidden="1"/>
    <cellStyle name="Hyperlink" xfId="3181" builtinId="8" hidden="1"/>
    <cellStyle name="Hyperlink" xfId="3183" builtinId="8" hidden="1"/>
    <cellStyle name="Hyperlink" xfId="3185" builtinId="8" hidden="1"/>
    <cellStyle name="Hyperlink" xfId="3187" builtinId="8" hidden="1"/>
    <cellStyle name="Hyperlink" xfId="3189" builtinId="8" hidden="1"/>
    <cellStyle name="Hyperlink" xfId="3191" builtinId="8" hidden="1"/>
    <cellStyle name="Hyperlink" xfId="3193" builtinId="8" hidden="1"/>
    <cellStyle name="Hyperlink" xfId="3195" builtinId="8" hidden="1"/>
    <cellStyle name="Hyperlink" xfId="3197" builtinId="8" hidden="1"/>
    <cellStyle name="Hyperlink" xfId="3199" builtinId="8" hidden="1"/>
    <cellStyle name="Hyperlink" xfId="3201" builtinId="8" hidden="1"/>
    <cellStyle name="Hyperlink" xfId="3203" builtinId="8" hidden="1"/>
    <cellStyle name="Hyperlink" xfId="3205" builtinId="8" hidden="1"/>
    <cellStyle name="Hyperlink" xfId="3207" builtinId="8" hidden="1"/>
    <cellStyle name="Hyperlink" xfId="3209" builtinId="8" hidden="1"/>
    <cellStyle name="Hyperlink" xfId="3211" builtinId="8" hidden="1"/>
    <cellStyle name="Hyperlink" xfId="3213" builtinId="8" hidden="1"/>
    <cellStyle name="Hyperlink" xfId="3215" builtinId="8" hidden="1"/>
    <cellStyle name="Hyperlink" xfId="3217" builtinId="8" hidden="1"/>
    <cellStyle name="Hyperlink" xfId="3219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29" builtinId="8" hidden="1"/>
    <cellStyle name="Hyperlink" xfId="3231" builtinId="8" hidden="1"/>
    <cellStyle name="Hyperlink" xfId="3233" builtinId="8" hidden="1"/>
    <cellStyle name="Hyperlink" xfId="3235" builtinId="8" hidden="1"/>
    <cellStyle name="Hyperlink" xfId="3237" builtinId="8" hidden="1"/>
    <cellStyle name="Hyperlink" xfId="3239" builtinId="8" hidden="1"/>
    <cellStyle name="Hyperlink" xfId="3241" builtinId="8" hidden="1"/>
    <cellStyle name="Hyperlink" xfId="3243" builtinId="8" hidden="1"/>
    <cellStyle name="Hyperlink" xfId="3245" builtinId="8" hidden="1"/>
    <cellStyle name="Hyperlink" xfId="3247" builtinId="8" hidden="1"/>
    <cellStyle name="Hyperlink" xfId="3249" builtinId="8" hidden="1"/>
    <cellStyle name="Hyperlink" xfId="3251" builtinId="8" hidden="1"/>
    <cellStyle name="Hyperlink" xfId="3253" builtinId="8" hidden="1"/>
    <cellStyle name="Hyperlink" xfId="3255" builtinId="8" hidden="1"/>
    <cellStyle name="Hyperlink" xfId="3257" builtinId="8" hidden="1"/>
    <cellStyle name="Hyperlink" xfId="3259" builtinId="8" hidden="1"/>
    <cellStyle name="Hyperlink" xfId="3261" builtinId="8" hidden="1"/>
    <cellStyle name="Hyperlink" xfId="3263" builtinId="8" hidden="1"/>
    <cellStyle name="Hyperlink" xfId="3265" builtinId="8" hidden="1"/>
    <cellStyle name="Hyperlink" xfId="3267" builtinId="8" hidden="1"/>
    <cellStyle name="Hyperlink" xfId="3269" builtinId="8" hidden="1"/>
    <cellStyle name="Hyperlink" xfId="3271" builtinId="8" hidden="1"/>
    <cellStyle name="Hyperlink" xfId="3273" builtinId="8" hidden="1"/>
    <cellStyle name="Hyperlink" xfId="3275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289" builtinId="8" hidden="1"/>
    <cellStyle name="Hyperlink" xfId="3291" builtinId="8" hidden="1"/>
    <cellStyle name="Hyperlink" xfId="3293" builtinId="8" hidden="1"/>
    <cellStyle name="Hyperlink" xfId="3295" builtinId="8" hidden="1"/>
    <cellStyle name="Hyperlink" xfId="3297" builtinId="8" hidden="1"/>
    <cellStyle name="Hyperlink" xfId="3299" builtinId="8" hidden="1"/>
    <cellStyle name="Hyperlink" xfId="3301" builtinId="8" hidden="1"/>
    <cellStyle name="Hyperlink" xfId="3303" builtinId="8" hidden="1"/>
    <cellStyle name="Hyperlink" xfId="3305" builtinId="8" hidden="1"/>
    <cellStyle name="Hyperlink" xfId="3307" builtinId="8" hidden="1"/>
    <cellStyle name="Hyperlink" xfId="3309" builtinId="8" hidden="1"/>
    <cellStyle name="Hyperlink" xfId="3311" builtinId="8" hidden="1"/>
    <cellStyle name="Hyperlink" xfId="3313" builtinId="8" hidden="1"/>
    <cellStyle name="Hyperlink" xfId="3315" builtinId="8" hidden="1"/>
    <cellStyle name="Hyperlink" xfId="3317" builtinId="8" hidden="1"/>
    <cellStyle name="Hyperlink" xfId="3319" builtinId="8" hidden="1"/>
    <cellStyle name="Hyperlink" xfId="3321" builtinId="8" hidden="1"/>
    <cellStyle name="Hyperlink" xfId="3323" builtinId="8" hidden="1"/>
    <cellStyle name="Hyperlink" xfId="3325" builtinId="8" hidden="1"/>
    <cellStyle name="Hyperlink" xfId="332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7" builtinId="8" hidden="1"/>
    <cellStyle name="Hyperlink" xfId="3339" builtinId="8" hidden="1"/>
    <cellStyle name="Hyperlink" xfId="3341" builtinId="8" hidden="1"/>
    <cellStyle name="Hyperlink" xfId="3343" builtinId="8" hidden="1"/>
    <cellStyle name="Hyperlink" xfId="3345" builtinId="8" hidden="1"/>
    <cellStyle name="Hyperlink" xfId="3347" builtinId="8" hidden="1"/>
    <cellStyle name="Hyperlink" xfId="3349" builtinId="8" hidden="1"/>
    <cellStyle name="Hyperlink" xfId="3351" builtinId="8" hidden="1"/>
    <cellStyle name="Hyperlink" xfId="3353" builtinId="8" hidden="1"/>
    <cellStyle name="Hyperlink" xfId="3355" builtinId="8" hidden="1"/>
    <cellStyle name="Hyperlink" xfId="3357" builtinId="8" hidden="1"/>
    <cellStyle name="Hyperlink" xfId="3359" builtinId="8" hidden="1"/>
    <cellStyle name="Hyperlink" xfId="3361" builtinId="8" hidden="1"/>
    <cellStyle name="Hyperlink" xfId="3363" builtinId="8" hidden="1"/>
    <cellStyle name="Hyperlink" xfId="3365" builtinId="8" hidden="1"/>
    <cellStyle name="Hyperlink" xfId="3367" builtinId="8" hidden="1"/>
    <cellStyle name="Hyperlink" xfId="3369" builtinId="8" hidden="1"/>
    <cellStyle name="Hyperlink" xfId="3371" builtinId="8" hidden="1"/>
    <cellStyle name="Hyperlink" xfId="3373" builtinId="8" hidden="1"/>
    <cellStyle name="Hyperlink" xfId="3375" builtinId="8" hidden="1"/>
    <cellStyle name="Hyperlink" xfId="3377" builtinId="8" hidden="1"/>
    <cellStyle name="Hyperlink" xfId="3379" builtinId="8" hidden="1"/>
    <cellStyle name="Hyperlink" xfId="3381" builtinId="8" hidden="1"/>
    <cellStyle name="Hyperlink" xfId="3383" builtinId="8" hidden="1"/>
    <cellStyle name="Hyperlink" xfId="3385" builtinId="8" hidden="1"/>
    <cellStyle name="Hyperlink" xfId="3387" builtinId="8" hidden="1"/>
    <cellStyle name="Hyperlink" xfId="3389" builtinId="8" hidden="1"/>
    <cellStyle name="Hyperlink" xfId="3391" builtinId="8" hidden="1"/>
    <cellStyle name="Hyperlink" xfId="3393" builtinId="8" hidden="1"/>
    <cellStyle name="Hyperlink" xfId="3395" builtinId="8" hidden="1"/>
    <cellStyle name="Hyperlink" xfId="3397" builtinId="8" hidden="1"/>
    <cellStyle name="Hyperlink" xfId="3399" builtinId="8" hidden="1"/>
    <cellStyle name="Hyperlink" xfId="3401" builtinId="8" hidden="1"/>
    <cellStyle name="Hyperlink" xfId="3403" builtinId="8" hidden="1"/>
    <cellStyle name="Hyperlink" xfId="3405" builtinId="8" hidden="1"/>
    <cellStyle name="Hyperlink" xfId="3407" builtinId="8" hidden="1"/>
    <cellStyle name="Hyperlink" xfId="3409" builtinId="8" hidden="1"/>
    <cellStyle name="Hyperlink" xfId="3411" builtinId="8" hidden="1"/>
    <cellStyle name="Hyperlink" xfId="3413" builtinId="8" hidden="1"/>
    <cellStyle name="Hyperlink" xfId="3415" builtinId="8" hidden="1"/>
    <cellStyle name="Hyperlink" xfId="3417" builtinId="8" hidden="1"/>
    <cellStyle name="Hyperlink" xfId="3419" builtinId="8" hidden="1"/>
    <cellStyle name="Hyperlink" xfId="3421" builtinId="8" hidden="1"/>
    <cellStyle name="Hyperlink" xfId="3423" builtinId="8" hidden="1"/>
    <cellStyle name="Hyperlink" xfId="3425" builtinId="8" hidden="1"/>
    <cellStyle name="Hyperlink" xfId="3427" builtinId="8" hidden="1"/>
    <cellStyle name="Hyperlink" xfId="3429" builtinId="8" hidden="1"/>
    <cellStyle name="Hyperlink" xfId="3431" builtinId="8" hidden="1"/>
    <cellStyle name="Hyperlink" xfId="3433" builtinId="8" hidden="1"/>
    <cellStyle name="Hyperlink" xfId="3435" builtinId="8" hidden="1"/>
    <cellStyle name="Hyperlink" xfId="3437" builtinId="8" hidden="1"/>
    <cellStyle name="Hyperlink" xfId="3439" builtinId="8" hidden="1"/>
    <cellStyle name="Hyperlink" xfId="3441" builtinId="8" hidden="1"/>
    <cellStyle name="Hyperlink" xfId="3443" builtinId="8" hidden="1"/>
    <cellStyle name="Hyperlink" xfId="3445" builtinId="8" hidden="1"/>
    <cellStyle name="Hyperlink" xfId="3447" builtinId="8" hidden="1"/>
    <cellStyle name="Hyperlink" xfId="3449" builtinId="8" hidden="1"/>
    <cellStyle name="Hyperlink" xfId="3451" builtinId="8" hidden="1"/>
    <cellStyle name="Hyperlink" xfId="3453" builtinId="8" hidden="1"/>
    <cellStyle name="Hyperlink" xfId="3455" builtinId="8" hidden="1"/>
    <cellStyle name="Hyperlink" xfId="3457" builtinId="8" hidden="1"/>
    <cellStyle name="Hyperlink" xfId="3459" builtinId="8" hidden="1"/>
    <cellStyle name="Hyperlink" xfId="3461" builtinId="8" hidden="1"/>
    <cellStyle name="Hyperlink" xfId="3463" builtinId="8" hidden="1"/>
    <cellStyle name="Hyperlink" xfId="3465" builtinId="8" hidden="1"/>
    <cellStyle name="Hyperlink" xfId="3467" builtinId="8" hidden="1"/>
    <cellStyle name="Hyperlink" xfId="3469" builtinId="8" hidden="1"/>
    <cellStyle name="Hyperlink" xfId="3471" builtinId="8" hidden="1"/>
    <cellStyle name="Hyperlink" xfId="3473" builtinId="8" hidden="1"/>
    <cellStyle name="Hyperlink" xfId="3475" builtinId="8" hidden="1"/>
    <cellStyle name="Hyperlink" xfId="3477" builtinId="8" hidden="1"/>
    <cellStyle name="Hyperlink" xfId="3479" builtinId="8" hidden="1"/>
    <cellStyle name="Hyperlink" xfId="3481" builtinId="8" hidden="1"/>
    <cellStyle name="Hyperlink" xfId="3483" builtinId="8" hidden="1"/>
    <cellStyle name="Hyperlink" xfId="3485" builtinId="8" hidden="1"/>
    <cellStyle name="Hyperlink" xfId="3487" builtinId="8" hidden="1"/>
    <cellStyle name="Hyperlink" xfId="3489" builtinId="8" hidden="1"/>
    <cellStyle name="Hyperlink" xfId="3491" builtinId="8" hidden="1"/>
    <cellStyle name="Hyperlink" xfId="3493" builtinId="8" hidden="1"/>
    <cellStyle name="Hyperlink" xfId="3495" builtinId="8" hidden="1"/>
    <cellStyle name="Hyperlink" xfId="3497" builtinId="8" hidden="1"/>
    <cellStyle name="Hyperlink" xfId="3499" builtinId="8" hidden="1"/>
    <cellStyle name="Hyperlink" xfId="3501" builtinId="8" hidden="1"/>
    <cellStyle name="Hyperlink" xfId="3503" builtinId="8" hidden="1"/>
    <cellStyle name="Hyperlink" xfId="3505" builtinId="8" hidden="1"/>
    <cellStyle name="Hyperlink" xfId="3507" builtinId="8" hidden="1"/>
    <cellStyle name="Hyperlink" xfId="3509" builtinId="8" hidden="1"/>
    <cellStyle name="Hyperlink" xfId="3511" builtinId="8" hidden="1"/>
    <cellStyle name="Hyperlink" xfId="3513" builtinId="8" hidden="1"/>
    <cellStyle name="Hyperlink" xfId="3515" builtinId="8" hidden="1"/>
    <cellStyle name="Hyperlink" xfId="3517" builtinId="8" hidden="1"/>
    <cellStyle name="Hyperlink" xfId="3519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33" builtinId="8" hidden="1"/>
    <cellStyle name="Hyperlink" xfId="3535" builtinId="8" hidden="1"/>
    <cellStyle name="Hyperlink" xfId="3537" builtinId="8" hidden="1"/>
    <cellStyle name="Hyperlink" xfId="3539" builtinId="8" hidden="1"/>
    <cellStyle name="Hyperlink" xfId="3541" builtinId="8" hidden="1"/>
    <cellStyle name="Hyperlink" xfId="3543" builtinId="8" hidden="1"/>
    <cellStyle name="Hyperlink" xfId="3545" builtinId="8" hidden="1"/>
    <cellStyle name="Hyperlink" xfId="3547" builtinId="8" hidden="1"/>
    <cellStyle name="Hyperlink" xfId="3549" builtinId="8" hidden="1"/>
    <cellStyle name="Hyperlink" xfId="3551" builtinId="8" hidden="1"/>
    <cellStyle name="Hyperlink" xfId="3553" builtinId="8" hidden="1"/>
    <cellStyle name="Hyperlink" xfId="3555" builtinId="8" hidden="1"/>
    <cellStyle name="Hyperlink" xfId="3557" builtinId="8" hidden="1"/>
    <cellStyle name="Hyperlink" xfId="3559" builtinId="8" hidden="1"/>
    <cellStyle name="Hyperlink" xfId="3561" builtinId="8" hidden="1"/>
    <cellStyle name="Hyperlink" xfId="3563" builtinId="8" hidden="1"/>
    <cellStyle name="Hyperlink" xfId="3565" builtinId="8" hidden="1"/>
    <cellStyle name="Hyperlink" xfId="3567" builtinId="8" hidden="1"/>
    <cellStyle name="Hyperlink" xfId="3569" builtinId="8" hidden="1"/>
    <cellStyle name="Hyperlink" xfId="3571" builtinId="8" hidden="1"/>
    <cellStyle name="Hyperlink" xfId="3573" builtinId="8" hidden="1"/>
    <cellStyle name="Hyperlink" xfId="3575" builtinId="8" hidden="1"/>
    <cellStyle name="Hyperlink" xfId="3577" builtinId="8" hidden="1"/>
    <cellStyle name="Hyperlink" xfId="3579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685" builtinId="8" hidden="1"/>
    <cellStyle name="Hyperlink" xfId="3687" builtinId="8" hidden="1"/>
    <cellStyle name="Hyperlink" xfId="3689" builtinId="8" hidden="1"/>
    <cellStyle name="Hyperlink" xfId="3691" builtinId="8" hidden="1"/>
    <cellStyle name="Hyperlink" xfId="3693" builtinId="8" hidden="1"/>
    <cellStyle name="Hyperlink" xfId="3695" builtinId="8" hidden="1"/>
    <cellStyle name="Hyperlink" xfId="3697" builtinId="8" hidden="1"/>
    <cellStyle name="Hyperlink" xfId="3699" builtinId="8" hidden="1"/>
    <cellStyle name="Hyperlink" xfId="3701" builtinId="8" hidden="1"/>
    <cellStyle name="Hyperlink" xfId="3703" builtinId="8" hidden="1"/>
    <cellStyle name="Hyperlink" xfId="3705" builtinId="8" hidden="1"/>
    <cellStyle name="Hyperlink" xfId="3707" builtinId="8" hidden="1"/>
    <cellStyle name="Hyperlink" xfId="3709" builtinId="8" hidden="1"/>
    <cellStyle name="Hyperlink" xfId="3711" builtinId="8" hidden="1"/>
    <cellStyle name="Hyperlink" xfId="3713" builtinId="8" hidden="1"/>
    <cellStyle name="Hyperlink" xfId="3715" builtinId="8" hidden="1"/>
    <cellStyle name="Hyperlink" xfId="3717" builtinId="8" hidden="1"/>
    <cellStyle name="Hyperlink" xfId="3719" builtinId="8" hidden="1"/>
    <cellStyle name="Hyperlink" xfId="3721" builtinId="8" hidden="1"/>
    <cellStyle name="Hyperlink" xfId="3723" builtinId="8" hidden="1"/>
    <cellStyle name="Hyperlink" xfId="3725" builtinId="8" hidden="1"/>
    <cellStyle name="Hyperlink" xfId="3727" builtinId="8" hidden="1"/>
    <cellStyle name="Hyperlink" xfId="3729" builtinId="8" hidden="1"/>
    <cellStyle name="Hyperlink" xfId="3731" builtinId="8" hidden="1"/>
    <cellStyle name="Hyperlink" xfId="3733" builtinId="8" hidden="1"/>
    <cellStyle name="Hyperlink" xfId="3735" builtinId="8" hidden="1"/>
    <cellStyle name="Hyperlink" xfId="3737" builtinId="8" hidden="1"/>
    <cellStyle name="Hyperlink" xfId="3739" builtinId="8" hidden="1"/>
    <cellStyle name="Hyperlink" xfId="3741" builtinId="8" hidden="1"/>
    <cellStyle name="Hyperlink" xfId="3743" builtinId="8" hidden="1"/>
    <cellStyle name="Hyperlink" xfId="3745" builtinId="8" hidden="1"/>
    <cellStyle name="Hyperlink" xfId="3747" builtinId="8" hidden="1"/>
    <cellStyle name="Hyperlink" xfId="3749" builtinId="8" hidden="1"/>
    <cellStyle name="Hyperlink" xfId="3751" builtinId="8" hidden="1"/>
    <cellStyle name="Hyperlink" xfId="3753" builtinId="8" hidden="1"/>
    <cellStyle name="Hyperlink" xfId="3755" builtinId="8" hidden="1"/>
    <cellStyle name="Hyperlink" xfId="3757" builtinId="8" hidden="1"/>
    <cellStyle name="Hyperlink" xfId="3759" builtinId="8" hidden="1"/>
    <cellStyle name="Hyperlink" xfId="3761" builtinId="8" hidden="1"/>
    <cellStyle name="Hyperlink" xfId="3763" builtinId="8" hidden="1"/>
    <cellStyle name="Hyperlink" xfId="3765" builtinId="8" hidden="1"/>
    <cellStyle name="Hyperlink" xfId="3767" builtinId="8" hidden="1"/>
    <cellStyle name="Hyperlink" xfId="3769" builtinId="8" hidden="1"/>
    <cellStyle name="Hyperlink" xfId="3771" builtinId="8" hidden="1"/>
    <cellStyle name="Hyperlink" xfId="3773" builtinId="8" hidden="1"/>
    <cellStyle name="Hyperlink" xfId="3775" builtinId="8" hidden="1"/>
    <cellStyle name="Hyperlink" xfId="3777" builtinId="8" hidden="1"/>
    <cellStyle name="Hyperlink" xfId="3779" builtinId="8" hidden="1"/>
    <cellStyle name="Hyperlink" xfId="3781" builtinId="8" hidden="1"/>
    <cellStyle name="Hyperlink" xfId="3783" builtinId="8" hidden="1"/>
    <cellStyle name="Hyperlink" xfId="3785" builtinId="8" hidden="1"/>
    <cellStyle name="Hyperlink" xfId="3787" builtinId="8" hidden="1"/>
    <cellStyle name="Hyperlink" xfId="3789" builtinId="8" hidden="1"/>
    <cellStyle name="Hyperlink" xfId="3791" builtinId="8" hidden="1"/>
    <cellStyle name="Hyperlink" xfId="3793" builtinId="8" hidden="1"/>
    <cellStyle name="Hyperlink" xfId="3795" builtinId="8" hidden="1"/>
    <cellStyle name="Hyperlink" xfId="3797" builtinId="8" hidden="1"/>
    <cellStyle name="Hyperlink" xfId="3799" builtinId="8" hidden="1"/>
    <cellStyle name="Hyperlink" xfId="3801" builtinId="8" hidden="1"/>
    <cellStyle name="Hyperlink" xfId="3803" builtinId="8" hidden="1"/>
    <cellStyle name="Hyperlink" xfId="3805" builtinId="8" hidden="1"/>
    <cellStyle name="Hyperlink" xfId="3807" builtinId="8" hidden="1"/>
    <cellStyle name="Hyperlink" xfId="3809" builtinId="8" hidden="1"/>
    <cellStyle name="Hyperlink" xfId="3811" builtinId="8" hidden="1"/>
    <cellStyle name="Hyperlink" xfId="3813" builtinId="8" hidden="1"/>
    <cellStyle name="Hyperlink" xfId="3815" builtinId="8" hidden="1"/>
    <cellStyle name="Hyperlink" xfId="3817" builtinId="8" hidden="1"/>
    <cellStyle name="Hyperlink" xfId="3819" builtinId="8" hidden="1"/>
    <cellStyle name="Hyperlink" xfId="3821" builtinId="8" hidden="1"/>
    <cellStyle name="Hyperlink" xfId="3823" builtinId="8" hidden="1"/>
    <cellStyle name="Hyperlink" xfId="3825" builtinId="8" hidden="1"/>
    <cellStyle name="Hyperlink" xfId="3827" builtinId="8" hidden="1"/>
    <cellStyle name="Hyperlink" xfId="3829" builtinId="8" hidden="1"/>
    <cellStyle name="Hyperlink" xfId="3831" builtinId="8" hidden="1"/>
    <cellStyle name="Hyperlink" xfId="3833" builtinId="8" hidden="1"/>
    <cellStyle name="Hyperlink" xfId="3835" builtinId="8" hidden="1"/>
    <cellStyle name="Hyperlink" xfId="3837" builtinId="8" hidden="1"/>
    <cellStyle name="Hyperlink" xfId="3839" builtinId="8" hidden="1"/>
    <cellStyle name="Hyperlink" xfId="3841" builtinId="8" hidden="1"/>
    <cellStyle name="Hyperlink" xfId="3843" builtinId="8" hidden="1"/>
    <cellStyle name="Hyperlink" xfId="3845" builtinId="8" hidden="1"/>
    <cellStyle name="Hyperlink" xfId="3847" builtinId="8" hidden="1"/>
    <cellStyle name="Hyperlink" xfId="3849" builtinId="8" hidden="1"/>
    <cellStyle name="Hyperlink" xfId="3851" builtinId="8" hidden="1"/>
    <cellStyle name="Hyperlink" xfId="3853" builtinId="8" hidden="1"/>
    <cellStyle name="Hyperlink" xfId="3855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869" builtinId="8" hidden="1"/>
    <cellStyle name="Hyperlink" xfId="3871" builtinId="8" hidden="1"/>
    <cellStyle name="Hyperlink" xfId="3873" builtinId="8" hidden="1"/>
    <cellStyle name="Hyperlink" xfId="3875" builtinId="8" hidden="1"/>
    <cellStyle name="Hyperlink" xfId="3877" builtinId="8" hidden="1"/>
    <cellStyle name="Hyperlink" xfId="3879" builtinId="8" hidden="1"/>
    <cellStyle name="Hyperlink" xfId="3881" builtinId="8" hidden="1"/>
    <cellStyle name="Hyperlink" xfId="3883" builtinId="8" hidden="1"/>
    <cellStyle name="Hyperlink" xfId="3885" builtinId="8" hidden="1"/>
    <cellStyle name="Hyperlink" xfId="3887" builtinId="8" hidden="1"/>
    <cellStyle name="Hyperlink" xfId="3889" builtinId="8" hidden="1"/>
    <cellStyle name="Hyperlink" xfId="3891" builtinId="8" hidden="1"/>
    <cellStyle name="Hyperlink" xfId="3893" builtinId="8" hidden="1"/>
    <cellStyle name="Hyperlink" xfId="3895" builtinId="8" hidden="1"/>
    <cellStyle name="Hyperlink" xfId="3897" builtinId="8" hidden="1"/>
    <cellStyle name="Hyperlink" xfId="3899" builtinId="8" hidden="1"/>
    <cellStyle name="Hyperlink" xfId="3901" builtinId="8" hidden="1"/>
    <cellStyle name="Hyperlink" xfId="3903" builtinId="8" hidden="1"/>
    <cellStyle name="Hyperlink" xfId="3905" builtinId="8" hidden="1"/>
    <cellStyle name="Hyperlink" xfId="3907" builtinId="8" hidden="1"/>
    <cellStyle name="Hyperlink" xfId="3909" builtinId="8" hidden="1"/>
    <cellStyle name="Hyperlink" xfId="3911" builtinId="8" hidden="1"/>
    <cellStyle name="Hyperlink" xfId="3913" builtinId="8" hidden="1"/>
    <cellStyle name="Hyperlink" xfId="3915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4021" builtinId="8" hidden="1"/>
    <cellStyle name="Hyperlink" xfId="4023" builtinId="8" hidden="1"/>
    <cellStyle name="Hyperlink" xfId="4025" builtinId="8" hidden="1"/>
    <cellStyle name="Hyperlink" xfId="4027" builtinId="8" hidden="1"/>
    <cellStyle name="Hyperlink" xfId="4029" builtinId="8" hidden="1"/>
    <cellStyle name="Hyperlink" xfId="4031" builtinId="8" hidden="1"/>
    <cellStyle name="Hyperlink" xfId="4033" builtinId="8" hidden="1"/>
    <cellStyle name="Hyperlink" xfId="4035" builtinId="8" hidden="1"/>
    <cellStyle name="Hyperlink" xfId="4037" builtinId="8" hidden="1"/>
    <cellStyle name="Hyperlink" xfId="4039" builtinId="8" hidden="1"/>
    <cellStyle name="Hyperlink" xfId="4041" builtinId="8" hidden="1"/>
    <cellStyle name="Hyperlink" xfId="4043" builtinId="8" hidden="1"/>
    <cellStyle name="Hyperlink" xfId="4045" builtinId="8" hidden="1"/>
    <cellStyle name="Hyperlink" xfId="4047" builtinId="8" hidden="1"/>
    <cellStyle name="Hyperlink" xfId="4049" builtinId="8" hidden="1"/>
    <cellStyle name="Hyperlink" xfId="4051" builtinId="8" hidden="1"/>
    <cellStyle name="Hyperlink" xfId="4053" builtinId="8" hidden="1"/>
    <cellStyle name="Hyperlink" xfId="4055" builtinId="8" hidden="1"/>
    <cellStyle name="Hyperlink" xfId="4057" builtinId="8" hidden="1"/>
    <cellStyle name="Hyperlink" xfId="4059" builtinId="8" hidden="1"/>
    <cellStyle name="Hyperlink" xfId="4061" builtinId="8" hidden="1"/>
    <cellStyle name="Hyperlink" xfId="4063" builtinId="8" hidden="1"/>
    <cellStyle name="Hyperlink" xfId="4065" builtinId="8" hidden="1"/>
    <cellStyle name="Hyperlink" xfId="4067" builtinId="8" hidden="1"/>
    <cellStyle name="Hyperlink" xfId="4069" builtinId="8" hidden="1"/>
    <cellStyle name="Hyperlink" xfId="4071" builtinId="8" hidden="1"/>
    <cellStyle name="Hyperlink" xfId="4073" builtinId="8" hidden="1"/>
    <cellStyle name="Hyperlink" xfId="4075" builtinId="8" hidden="1"/>
    <cellStyle name="Hyperlink" xfId="4077" builtinId="8" hidden="1"/>
    <cellStyle name="Hyperlink" xfId="4079" builtinId="8" hidden="1"/>
    <cellStyle name="Hyperlink" xfId="4081" builtinId="8" hidden="1"/>
    <cellStyle name="Hyperlink" xfId="4083" builtinId="8" hidden="1"/>
    <cellStyle name="Hyperlink" xfId="4085" builtinId="8" hidden="1"/>
    <cellStyle name="Hyperlink" xfId="4087" builtinId="8" hidden="1"/>
    <cellStyle name="Hyperlink" xfId="4089" builtinId="8" hidden="1"/>
    <cellStyle name="Hyperlink" xfId="4091" builtinId="8" hidden="1"/>
    <cellStyle name="Hyperlink" xfId="4093" builtinId="8" hidden="1"/>
    <cellStyle name="Hyperlink" xfId="4095" builtinId="8" hidden="1"/>
    <cellStyle name="Hyperlink" xfId="4097" builtinId="8" hidden="1"/>
    <cellStyle name="Hyperlink" xfId="4099" builtinId="8" hidden="1"/>
    <cellStyle name="Hyperlink" xfId="4101" builtinId="8" hidden="1"/>
    <cellStyle name="Hyperlink" xfId="4103" builtinId="8" hidden="1"/>
    <cellStyle name="Hyperlink" xfId="4105" builtinId="8" hidden="1"/>
    <cellStyle name="Hyperlink" xfId="4107" builtinId="8" hidden="1"/>
    <cellStyle name="Hyperlink" xfId="4109" builtinId="8" hidden="1"/>
    <cellStyle name="Hyperlink" xfId="4111" builtinId="8" hidden="1"/>
    <cellStyle name="Hyperlink" xfId="4113" builtinId="8" hidden="1"/>
    <cellStyle name="Hyperlink" xfId="4115" builtinId="8" hidden="1"/>
    <cellStyle name="Hyperlink" xfId="4117" builtinId="8" hidden="1"/>
    <cellStyle name="Hyperlink" xfId="4119" builtinId="8" hidden="1"/>
    <cellStyle name="Hyperlink" xfId="4121" builtinId="8" hidden="1"/>
    <cellStyle name="Hyperlink" xfId="4123" builtinId="8" hidden="1"/>
    <cellStyle name="Hyperlink" xfId="4125" builtinId="8" hidden="1"/>
    <cellStyle name="Hyperlink" xfId="4127" builtinId="8" hidden="1"/>
    <cellStyle name="Hyperlink" xfId="4129" builtinId="8" hidden="1"/>
    <cellStyle name="Hyperlink" xfId="4131" builtinId="8" hidden="1"/>
    <cellStyle name="Hyperlink" xfId="4133" builtinId="8" hidden="1"/>
    <cellStyle name="Hyperlink" xfId="4135" builtinId="8" hidden="1"/>
    <cellStyle name="Hyperlink" xfId="4137" builtinId="8" hidden="1"/>
    <cellStyle name="Hyperlink" xfId="4139" builtinId="8" hidden="1"/>
    <cellStyle name="Hyperlink" xfId="4141" builtinId="8" hidden="1"/>
    <cellStyle name="Hyperlink" xfId="4143" builtinId="8" hidden="1"/>
    <cellStyle name="Hyperlink" xfId="4145" builtinId="8" hidden="1"/>
    <cellStyle name="Hyperlink" xfId="4147" builtinId="8" hidden="1"/>
    <cellStyle name="Hyperlink" xfId="4149" builtinId="8" hidden="1"/>
    <cellStyle name="Hyperlink" xfId="4151" builtinId="8" hidden="1"/>
    <cellStyle name="Hyperlink" xfId="4153" builtinId="8" hidden="1"/>
    <cellStyle name="Hyperlink" xfId="4155" builtinId="8" hidden="1"/>
    <cellStyle name="Hyperlink" xfId="4157" builtinId="8" hidden="1"/>
    <cellStyle name="Hyperlink" xfId="4159" builtinId="8" hidden="1"/>
    <cellStyle name="Hyperlink" xfId="4161" builtinId="8" hidden="1"/>
    <cellStyle name="Hyperlink" xfId="4163" builtinId="8" hidden="1"/>
    <cellStyle name="Hyperlink" xfId="4165" builtinId="8" hidden="1"/>
    <cellStyle name="Hyperlink" xfId="4167" builtinId="8" hidden="1"/>
    <cellStyle name="Hyperlink" xfId="4169" builtinId="8" hidden="1"/>
    <cellStyle name="Hyperlink" xfId="4171" builtinId="8" hidden="1"/>
    <cellStyle name="Hyperlink" xfId="4173" builtinId="8" hidden="1"/>
    <cellStyle name="Hyperlink" xfId="4175" builtinId="8" hidden="1"/>
    <cellStyle name="Hyperlink" xfId="4177" builtinId="8" hidden="1"/>
    <cellStyle name="Hyperlink" xfId="4179" builtinId="8" hidden="1"/>
    <cellStyle name="Hyperlink" xfId="4181" builtinId="8" hidden="1"/>
    <cellStyle name="Hyperlink" xfId="4183" builtinId="8" hidden="1"/>
    <cellStyle name="Hyperlink" xfId="4185" builtinId="8" hidden="1"/>
    <cellStyle name="Hyperlink" xfId="4187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01" builtinId="8" hidden="1"/>
    <cellStyle name="Hyperlink" xfId="4203" builtinId="8" hidden="1"/>
    <cellStyle name="Hyperlink" xfId="4205" builtinId="8" hidden="1"/>
    <cellStyle name="Hyperlink" xfId="4207" builtinId="8" hidden="1"/>
    <cellStyle name="Hyperlink" xfId="4209" builtinId="8" hidden="1"/>
    <cellStyle name="Hyperlink" xfId="4211" builtinId="8" hidden="1"/>
    <cellStyle name="Hyperlink" xfId="4213" builtinId="8" hidden="1"/>
    <cellStyle name="Hyperlink" xfId="4215" builtinId="8" hidden="1"/>
    <cellStyle name="Hyperlink" xfId="4217" builtinId="8" hidden="1"/>
    <cellStyle name="Hyperlink" xfId="4219" builtinId="8" hidden="1"/>
    <cellStyle name="Hyperlink" xfId="4221" builtinId="8" hidden="1"/>
    <cellStyle name="Hyperlink" xfId="4223" builtinId="8" hidden="1"/>
    <cellStyle name="Hyperlink" xfId="4225" builtinId="8" hidden="1"/>
    <cellStyle name="Hyperlink" xfId="4227" builtinId="8" hidden="1"/>
    <cellStyle name="Hyperlink" xfId="4229" builtinId="8" hidden="1"/>
    <cellStyle name="Hyperlink" xfId="4231" builtinId="8" hidden="1"/>
    <cellStyle name="Hyperlink" xfId="4233" builtinId="8" hidden="1"/>
    <cellStyle name="Hyperlink" xfId="4235" builtinId="8" hidden="1"/>
    <cellStyle name="Hyperlink" xfId="4237" builtinId="8" hidden="1"/>
    <cellStyle name="Hyperlink" xfId="4239" builtinId="8" hidden="1"/>
    <cellStyle name="Hyperlink" xfId="4241" builtinId="8" hidden="1"/>
    <cellStyle name="Hyperlink" xfId="4243" builtinId="8" hidden="1"/>
    <cellStyle name="Hyperlink" xfId="4245" builtinId="8" hidden="1"/>
    <cellStyle name="Hyperlink" xfId="4247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4353" builtinId="8" hidden="1"/>
    <cellStyle name="Hyperlink" xfId="4355" builtinId="8" hidden="1"/>
    <cellStyle name="Hyperlink" xfId="4357" builtinId="8" hidden="1"/>
    <cellStyle name="Hyperlink" xfId="4359" builtinId="8" hidden="1"/>
    <cellStyle name="Hyperlink" xfId="4361" builtinId="8" hidden="1"/>
    <cellStyle name="Hyperlink" xfId="4363" builtinId="8" hidden="1"/>
    <cellStyle name="Hyperlink" xfId="4365" builtinId="8" hidden="1"/>
    <cellStyle name="Hyperlink" xfId="4367" builtinId="8" hidden="1"/>
    <cellStyle name="Hyperlink" xfId="4369" builtinId="8" hidden="1"/>
    <cellStyle name="Hyperlink" xfId="4371" builtinId="8" hidden="1"/>
    <cellStyle name="Hyperlink" xfId="4373" builtinId="8" hidden="1"/>
    <cellStyle name="Hyperlink" xfId="4375" builtinId="8" hidden="1"/>
    <cellStyle name="Hyperlink" xfId="4377" builtinId="8" hidden="1"/>
    <cellStyle name="Hyperlink" xfId="4379" builtinId="8" hidden="1"/>
    <cellStyle name="Hyperlink" xfId="4381" builtinId="8" hidden="1"/>
    <cellStyle name="Hyperlink" xfId="4383" builtinId="8" hidden="1"/>
    <cellStyle name="Hyperlink" xfId="4385" builtinId="8" hidden="1"/>
    <cellStyle name="Hyperlink" xfId="4387" builtinId="8" hidden="1"/>
    <cellStyle name="Hyperlink" xfId="4389" builtinId="8" hidden="1"/>
    <cellStyle name="Hyperlink" xfId="4391" builtinId="8" hidden="1"/>
    <cellStyle name="Hyperlink" xfId="4393" builtinId="8" hidden="1"/>
    <cellStyle name="Hyperlink" xfId="4395" builtinId="8" hidden="1"/>
    <cellStyle name="Hyperlink" xfId="4397" builtinId="8" hidden="1"/>
    <cellStyle name="Hyperlink" xfId="4399" builtinId="8" hidden="1"/>
    <cellStyle name="Hyperlink" xfId="4401" builtinId="8" hidden="1"/>
    <cellStyle name="Hyperlink" xfId="4403" builtinId="8" hidden="1"/>
    <cellStyle name="Hyperlink" xfId="4405" builtinId="8" hidden="1"/>
    <cellStyle name="Hyperlink" xfId="4407" builtinId="8" hidden="1"/>
    <cellStyle name="Hyperlink" xfId="4409" builtinId="8" hidden="1"/>
    <cellStyle name="Hyperlink" xfId="4411" builtinId="8" hidden="1"/>
    <cellStyle name="Hyperlink" xfId="4413" builtinId="8" hidden="1"/>
    <cellStyle name="Hyperlink" xfId="4415" builtinId="8" hidden="1"/>
    <cellStyle name="Hyperlink" xfId="4417" builtinId="8" hidden="1"/>
    <cellStyle name="Hyperlink" xfId="4419" builtinId="8" hidden="1"/>
    <cellStyle name="Hyperlink" xfId="4421" builtinId="8" hidden="1"/>
    <cellStyle name="Hyperlink" xfId="4423" builtinId="8" hidden="1"/>
    <cellStyle name="Hyperlink" xfId="4425" builtinId="8" hidden="1"/>
    <cellStyle name="Hyperlink" xfId="4427" builtinId="8" hidden="1"/>
    <cellStyle name="Hyperlink" xfId="4429" builtinId="8" hidden="1"/>
    <cellStyle name="Hyperlink" xfId="4431" builtinId="8" hidden="1"/>
    <cellStyle name="Hyperlink" xfId="4433" builtinId="8" hidden="1"/>
    <cellStyle name="Hyperlink" xfId="4435" builtinId="8" hidden="1"/>
    <cellStyle name="Hyperlink" xfId="4437" builtinId="8" hidden="1"/>
    <cellStyle name="Hyperlink" xfId="4439" builtinId="8" hidden="1"/>
    <cellStyle name="Hyperlink" xfId="4441" builtinId="8" hidden="1"/>
    <cellStyle name="Hyperlink" xfId="4443" builtinId="8" hidden="1"/>
    <cellStyle name="Hyperlink" xfId="4445" builtinId="8" hidden="1"/>
    <cellStyle name="Hyperlink" xfId="4447" builtinId="8" hidden="1"/>
    <cellStyle name="Hyperlink" xfId="4449" builtinId="8" hidden="1"/>
    <cellStyle name="Hyperlink" xfId="4451" builtinId="8" hidden="1"/>
    <cellStyle name="Hyperlink" xfId="4453" builtinId="8" hidden="1"/>
    <cellStyle name="Hyperlink" xfId="4455" builtinId="8" hidden="1"/>
    <cellStyle name="Hyperlink" xfId="4457" builtinId="8" hidden="1"/>
    <cellStyle name="Hyperlink" xfId="4459" builtinId="8" hidden="1"/>
    <cellStyle name="Hyperlink" xfId="4461" builtinId="8" hidden="1"/>
    <cellStyle name="Hyperlink" xfId="4463" builtinId="8" hidden="1"/>
    <cellStyle name="Hyperlink" xfId="4465" builtinId="8" hidden="1"/>
    <cellStyle name="Hyperlink" xfId="4467" builtinId="8" hidden="1"/>
    <cellStyle name="Hyperlink" xfId="4469" builtinId="8" hidden="1"/>
    <cellStyle name="Hyperlink" xfId="4471" builtinId="8" hidden="1"/>
    <cellStyle name="Hyperlink" xfId="4473" builtinId="8" hidden="1"/>
    <cellStyle name="Hyperlink" xfId="4475" builtinId="8" hidden="1"/>
    <cellStyle name="Hyperlink" xfId="4477" builtinId="8" hidden="1"/>
    <cellStyle name="Hyperlink" xfId="4479" builtinId="8" hidden="1"/>
    <cellStyle name="Hyperlink" xfId="4481" builtinId="8" hidden="1"/>
    <cellStyle name="Hyperlink" xfId="4483" builtinId="8" hidden="1"/>
    <cellStyle name="Hyperlink" xfId="4485" builtinId="8" hidden="1"/>
    <cellStyle name="Hyperlink" xfId="4487" builtinId="8" hidden="1"/>
    <cellStyle name="Hyperlink" xfId="4489" builtinId="8" hidden="1"/>
    <cellStyle name="Hyperlink" xfId="4491" builtinId="8" hidden="1"/>
    <cellStyle name="Hyperlink" xfId="4493" builtinId="8" hidden="1"/>
    <cellStyle name="Hyperlink" xfId="4495" builtinId="8" hidden="1"/>
    <cellStyle name="Hyperlink" xfId="4497" builtinId="8" hidden="1"/>
    <cellStyle name="Hyperlink" xfId="4499" builtinId="8" hidden="1"/>
    <cellStyle name="Hyperlink" xfId="4501" builtinId="8" hidden="1"/>
    <cellStyle name="Hyperlink" xfId="4503" builtinId="8" hidden="1"/>
    <cellStyle name="Hyperlink" xfId="4505" builtinId="8" hidden="1"/>
    <cellStyle name="Hyperlink" xfId="4507" builtinId="8" hidden="1"/>
    <cellStyle name="Hyperlink" xfId="4509" builtinId="8" hidden="1"/>
    <cellStyle name="Hyperlink" xfId="4511" builtinId="8" hidden="1"/>
    <cellStyle name="Hyperlink" xfId="4513" builtinId="8" hidden="1"/>
    <cellStyle name="Hyperlink" xfId="4515" builtinId="8" hidden="1"/>
    <cellStyle name="Hyperlink" xfId="4517" builtinId="8" hidden="1"/>
    <cellStyle name="Hyperlink" xfId="4519" builtinId="8" hidden="1"/>
    <cellStyle name="Hyperlink" xfId="4521" builtinId="8" hidden="1"/>
    <cellStyle name="Hyperlink" xfId="4523" builtinId="8" hidden="1"/>
    <cellStyle name="Hyperlink" xfId="4525" builtinId="8" hidden="1"/>
    <cellStyle name="Hyperlink" xfId="4527" builtinId="8" hidden="1"/>
    <cellStyle name="Hyperlink" xfId="4529" builtinId="8" hidden="1"/>
    <cellStyle name="Hyperlink" xfId="4531" builtinId="8" hidden="1"/>
    <cellStyle name="Hyperlink" xfId="4533" builtinId="8" hidden="1"/>
    <cellStyle name="Hyperlink" xfId="4535" builtinId="8" hidden="1"/>
    <cellStyle name="Hyperlink" xfId="4537" builtinId="8" hidden="1"/>
    <cellStyle name="Hyperlink" xfId="4539" builtinId="8" hidden="1"/>
    <cellStyle name="Hyperlink" xfId="4541" builtinId="8" hidden="1"/>
    <cellStyle name="Hyperlink" xfId="4543" builtinId="8" hidden="1"/>
    <cellStyle name="Hyperlink" xfId="4545" builtinId="8" hidden="1"/>
    <cellStyle name="Hyperlink" xfId="4547" builtinId="8" hidden="1"/>
    <cellStyle name="Hyperlink" xfId="4549" builtinId="8" hidden="1"/>
    <cellStyle name="Hyperlink" xfId="4551" builtinId="8" hidden="1"/>
    <cellStyle name="Hyperlink" xfId="4553" builtinId="8" hidden="1"/>
    <cellStyle name="Hyperlink" xfId="4555" builtinId="8" hidden="1"/>
    <cellStyle name="Hyperlink" xfId="4557" builtinId="8" hidden="1"/>
    <cellStyle name="Hyperlink" xfId="4559" builtinId="8" hidden="1"/>
    <cellStyle name="Hyperlink" xfId="4561" builtinId="8" hidden="1"/>
    <cellStyle name="Hyperlink" xfId="4563" builtinId="8" hidden="1"/>
    <cellStyle name="Hyperlink" xfId="4565" builtinId="8" hidden="1"/>
    <cellStyle name="Hyperlink" xfId="4567" builtinId="8" hidden="1"/>
    <cellStyle name="Hyperlink" xfId="4569" builtinId="8" hidden="1"/>
    <cellStyle name="Hyperlink" xfId="4571" builtinId="8" hidden="1"/>
    <cellStyle name="Hyperlink" xfId="4573" builtinId="8" hidden="1"/>
    <cellStyle name="Hyperlink" xfId="4575" builtinId="8" hidden="1"/>
    <cellStyle name="Hyperlink" xfId="4577" builtinId="8" hidden="1"/>
    <cellStyle name="Hyperlink" xfId="4579" builtinId="8" hidden="1"/>
    <cellStyle name="Hyperlink" xfId="4581" builtinId="8" hidden="1"/>
    <cellStyle name="Hyperlink" xfId="4583" builtinId="8" hidden="1"/>
    <cellStyle name="Hyperlink" xfId="4585" builtinId="8" hidden="1"/>
    <cellStyle name="Hyperlink" xfId="4587" builtinId="8" hidden="1"/>
    <cellStyle name="Hyperlink" xfId="4589" builtinId="8" hidden="1"/>
    <cellStyle name="Hyperlink" xfId="4591" builtinId="8" hidden="1"/>
    <cellStyle name="Hyperlink" xfId="4593" builtinId="8" hidden="1"/>
    <cellStyle name="Hyperlink" xfId="4595" builtinId="8" hidden="1"/>
    <cellStyle name="Hyperlink" xfId="4597" builtinId="8" hidden="1"/>
    <cellStyle name="Hyperlink" xfId="4599" builtinId="8" hidden="1"/>
    <cellStyle name="Hyperlink" xfId="4601" builtinId="8" hidden="1"/>
    <cellStyle name="Hyperlink" xfId="4603" builtinId="8" hidden="1"/>
    <cellStyle name="Hyperlink" xfId="4605" builtinId="8" hidden="1"/>
    <cellStyle name="Hyperlink" xfId="4607" builtinId="8" hidden="1"/>
    <cellStyle name="Hyperlink" xfId="4609" builtinId="8" hidden="1"/>
    <cellStyle name="Hyperlink" xfId="4611" builtinId="8" hidden="1"/>
    <cellStyle name="Hyperlink" xfId="4613" builtinId="8" hidden="1"/>
    <cellStyle name="Hyperlink" xfId="4615" builtinId="8" hidden="1"/>
    <cellStyle name="Hyperlink" xfId="4617" builtinId="8" hidden="1"/>
    <cellStyle name="Hyperlink" xfId="4619" builtinId="8" hidden="1"/>
    <cellStyle name="Hyperlink" xfId="4621" builtinId="8" hidden="1"/>
    <cellStyle name="Hyperlink" xfId="4623" builtinId="8" hidden="1"/>
    <cellStyle name="Hyperlink" xfId="4625" builtinId="8" hidden="1"/>
    <cellStyle name="Hyperlink" xfId="4627" builtinId="8" hidden="1"/>
    <cellStyle name="Hyperlink" xfId="4629" builtinId="8" hidden="1"/>
    <cellStyle name="Hyperlink" xfId="4631" builtinId="8" hidden="1"/>
    <cellStyle name="Hyperlink" xfId="4633" builtinId="8" hidden="1"/>
    <cellStyle name="Hyperlink" xfId="4635" builtinId="8" hidden="1"/>
    <cellStyle name="Hyperlink" xfId="4637" builtinId="8" hidden="1"/>
    <cellStyle name="Hyperlink" xfId="4639" builtinId="8" hidden="1"/>
    <cellStyle name="Hyperlink" xfId="4641" builtinId="8" hidden="1"/>
    <cellStyle name="Hyperlink" xfId="4643" builtinId="8" hidden="1"/>
    <cellStyle name="Hyperlink" xfId="4645" builtinId="8" hidden="1"/>
    <cellStyle name="Hyperlink" xfId="4647" builtinId="8" hidden="1"/>
    <cellStyle name="Hyperlink" xfId="4649" builtinId="8" hidden="1"/>
    <cellStyle name="Hyperlink" xfId="4651" builtinId="8" hidden="1"/>
    <cellStyle name="Hyperlink" xfId="4653" builtinId="8" hidden="1"/>
    <cellStyle name="Hyperlink" xfId="4655" builtinId="8" hidden="1"/>
    <cellStyle name="Hyperlink" xfId="4657" builtinId="8" hidden="1"/>
    <cellStyle name="Hyperlink" xfId="4659" builtinId="8" hidden="1"/>
    <cellStyle name="Hyperlink" xfId="4661" builtinId="8" hidden="1"/>
    <cellStyle name="Hyperlink" xfId="4663" builtinId="8" hidden="1"/>
    <cellStyle name="Hyperlink" xfId="4665" builtinId="8" hidden="1"/>
    <cellStyle name="Hyperlink" xfId="4667" builtinId="8" hidden="1"/>
    <cellStyle name="Hyperlink" xfId="4669" builtinId="8" hidden="1"/>
    <cellStyle name="Hyperlink" xfId="4671" builtinId="8" hidden="1"/>
    <cellStyle name="Hyperlink" xfId="4673" builtinId="8" hidden="1"/>
    <cellStyle name="Hyperlink" xfId="4675" builtinId="8" hidden="1"/>
    <cellStyle name="Hyperlink" xfId="4677" builtinId="8" hidden="1"/>
    <cellStyle name="Hyperlink" xfId="4679" builtinId="8" hidden="1"/>
    <cellStyle name="Hyperlink" xfId="4681" builtinId="8" hidden="1"/>
    <cellStyle name="Hyperlink" xfId="4683" builtinId="8" hidden="1"/>
    <cellStyle name="Hyperlink" xfId="4685" builtinId="8" hidden="1"/>
    <cellStyle name="Hyperlink" xfId="4687" builtinId="8" hidden="1"/>
    <cellStyle name="Hyperlink" xfId="4689" builtinId="8" hidden="1"/>
    <cellStyle name="Hyperlink" xfId="4691" builtinId="8" hidden="1"/>
    <cellStyle name="Hyperlink" xfId="4693" builtinId="8" hidden="1"/>
    <cellStyle name="Hyperlink" xfId="4695" builtinId="8" hidden="1"/>
    <cellStyle name="Hyperlink" xfId="4697" builtinId="8" hidden="1"/>
    <cellStyle name="Hyperlink" xfId="4699" builtinId="8" hidden="1"/>
    <cellStyle name="Hyperlink" xfId="4701" builtinId="8" hidden="1"/>
    <cellStyle name="Hyperlink" xfId="4703" builtinId="8" hidden="1"/>
    <cellStyle name="Hyperlink" xfId="4705" builtinId="8" hidden="1"/>
    <cellStyle name="Hyperlink" xfId="4707" builtinId="8" hidden="1"/>
    <cellStyle name="Hyperlink" xfId="4709" builtinId="8" hidden="1"/>
    <cellStyle name="Hyperlink" xfId="4711" builtinId="8" hidden="1"/>
    <cellStyle name="Hyperlink" xfId="4713" builtinId="8" hidden="1"/>
    <cellStyle name="Hyperlink" xfId="4715" builtinId="8" hidden="1"/>
    <cellStyle name="Hyperlink" xfId="4717" builtinId="8" hidden="1"/>
    <cellStyle name="Hyperlink" xfId="4719" builtinId="8" hidden="1"/>
    <cellStyle name="Hyperlink" xfId="4721" builtinId="8" hidden="1"/>
    <cellStyle name="Hyperlink" xfId="4723" builtinId="8" hidden="1"/>
    <cellStyle name="Hyperlink" xfId="4725" builtinId="8" hidden="1"/>
    <cellStyle name="Hyperlink" xfId="4727" builtinId="8" hidden="1"/>
    <cellStyle name="Hyperlink" xfId="4729" builtinId="8" hidden="1"/>
    <cellStyle name="Hyperlink" xfId="4731" builtinId="8" hidden="1"/>
    <cellStyle name="Hyperlink" xfId="4733" builtinId="8" hidden="1"/>
    <cellStyle name="Hyperlink" xfId="4735" builtinId="8" hidden="1"/>
    <cellStyle name="Hyperlink" xfId="4737" builtinId="8" hidden="1"/>
    <cellStyle name="Hyperlink" xfId="4739" builtinId="8" hidden="1"/>
    <cellStyle name="Hyperlink" xfId="4741" builtinId="8" hidden="1"/>
    <cellStyle name="Hyperlink" xfId="4743" builtinId="8" hidden="1"/>
    <cellStyle name="Hyperlink" xfId="4745" builtinId="8" hidden="1"/>
    <cellStyle name="Hyperlink" xfId="4747" builtinId="8" hidden="1"/>
    <cellStyle name="Hyperlink" xfId="4749" builtinId="8" hidden="1"/>
    <cellStyle name="Hyperlink" xfId="4751" builtinId="8" hidden="1"/>
    <cellStyle name="Hyperlink" xfId="4753" builtinId="8" hidden="1"/>
    <cellStyle name="Hyperlink" xfId="4755" builtinId="8" hidden="1"/>
    <cellStyle name="Hyperlink" xfId="4757" builtinId="8" hidden="1"/>
    <cellStyle name="Hyperlink" xfId="4759" builtinId="8" hidden="1"/>
    <cellStyle name="Hyperlink" xfId="4761" builtinId="8" hidden="1"/>
    <cellStyle name="Hyperlink" xfId="4763" builtinId="8" hidden="1"/>
    <cellStyle name="Hyperlink" xfId="4765" builtinId="8" hidden="1"/>
    <cellStyle name="Hyperlink" xfId="4767" builtinId="8" hidden="1"/>
    <cellStyle name="Hyperlink" xfId="4769" builtinId="8" hidden="1"/>
    <cellStyle name="Hyperlink" xfId="4771" builtinId="8" hidden="1"/>
    <cellStyle name="Hyperlink" xfId="4773" builtinId="8" hidden="1"/>
    <cellStyle name="Hyperlink" xfId="4775" builtinId="8" hidden="1"/>
    <cellStyle name="Hyperlink" xfId="4777" builtinId="8" hidden="1"/>
    <cellStyle name="Hyperlink" xfId="4779" builtinId="8" hidden="1"/>
    <cellStyle name="Hyperlink" xfId="4781" builtinId="8" hidden="1"/>
    <cellStyle name="Hyperlink" xfId="4783" builtinId="8" hidden="1"/>
    <cellStyle name="Hyperlink" xfId="4785" builtinId="8" hidden="1"/>
    <cellStyle name="Hyperlink" xfId="4787" builtinId="8" hidden="1"/>
    <cellStyle name="Hyperlink" xfId="4789" builtinId="8" hidden="1"/>
    <cellStyle name="Hyperlink" xfId="4791" builtinId="8" hidden="1"/>
    <cellStyle name="Hyperlink" xfId="4793" builtinId="8" hidden="1"/>
    <cellStyle name="Hyperlink" xfId="4795" builtinId="8" hidden="1"/>
    <cellStyle name="Hyperlink" xfId="4797" builtinId="8" hidden="1"/>
    <cellStyle name="Hyperlink" xfId="4799" builtinId="8" hidden="1"/>
    <cellStyle name="Hyperlink" xfId="4801" builtinId="8" hidden="1"/>
    <cellStyle name="Hyperlink" xfId="4803" builtinId="8" hidden="1"/>
    <cellStyle name="Hyperlink" xfId="4805" builtinId="8" hidden="1"/>
    <cellStyle name="Hyperlink" xfId="4807" builtinId="8" hidden="1"/>
    <cellStyle name="Hyperlink" xfId="4809" builtinId="8" hidden="1"/>
    <cellStyle name="Hyperlink" xfId="4811" builtinId="8" hidden="1"/>
    <cellStyle name="Hyperlink" xfId="4814" builtinId="8" hidden="1"/>
    <cellStyle name="Hyperlink" xfId="4816" builtinId="8" hidden="1"/>
    <cellStyle name="Hyperlink" xfId="4818" builtinId="8" hidden="1"/>
    <cellStyle name="Hyperlink" xfId="4820" builtinId="8" hidden="1"/>
    <cellStyle name="Hyperlink" xfId="4822" builtinId="8" hidden="1"/>
    <cellStyle name="Hyperlink" xfId="4824" builtinId="8" hidden="1"/>
    <cellStyle name="Hyperlink" xfId="4826" builtinId="8" hidden="1"/>
    <cellStyle name="Hyperlink" xfId="4828" builtinId="8" hidden="1"/>
    <cellStyle name="Hyperlink" xfId="4830" builtinId="8" hidden="1"/>
    <cellStyle name="Hyperlink" xfId="4832" builtinId="8" hidden="1"/>
    <cellStyle name="Hyperlink" xfId="4834" builtinId="8" hidden="1"/>
    <cellStyle name="Hyperlink" xfId="4836" builtinId="8" hidden="1"/>
    <cellStyle name="Hyperlink" xfId="4838" builtinId="8" hidden="1"/>
    <cellStyle name="Hyperlink" xfId="4840" builtinId="8" hidden="1"/>
    <cellStyle name="Hyperlink" xfId="4842" builtinId="8" hidden="1"/>
    <cellStyle name="Hyperlink" xfId="4844" builtinId="8" hidden="1"/>
    <cellStyle name="Hyperlink" xfId="4846" builtinId="8" hidden="1"/>
    <cellStyle name="Hyperlink" xfId="4848" builtinId="8" hidden="1"/>
    <cellStyle name="Hyperlink" xfId="4850" builtinId="8" hidden="1"/>
    <cellStyle name="Hyperlink" xfId="4852" builtinId="8" hidden="1"/>
    <cellStyle name="Hyperlink" xfId="4854" builtinId="8" hidden="1"/>
    <cellStyle name="Hyperlink" xfId="4856" builtinId="8" hidden="1"/>
    <cellStyle name="Hyperlink" xfId="4858" builtinId="8" hidden="1"/>
    <cellStyle name="Hyperlink" xfId="4860" builtinId="8" hidden="1"/>
    <cellStyle name="Hyperlink" xfId="4862" builtinId="8" hidden="1"/>
    <cellStyle name="Hyperlink" xfId="4864" builtinId="8" hidden="1"/>
    <cellStyle name="Hyperlink" xfId="4866" builtinId="8" hidden="1"/>
    <cellStyle name="Hyperlink" xfId="4868" builtinId="8" hidden="1"/>
    <cellStyle name="Hyperlink" xfId="4870" builtinId="8" hidden="1"/>
    <cellStyle name="Hyperlink" xfId="4872" builtinId="8" hidden="1"/>
    <cellStyle name="Hyperlink" xfId="4874" builtinId="8" hidden="1"/>
    <cellStyle name="Hyperlink" xfId="4876" builtinId="8" hidden="1"/>
    <cellStyle name="Hyperlink" xfId="4878" builtinId="8" hidden="1"/>
    <cellStyle name="Hyperlink" xfId="4880" builtinId="8" hidden="1"/>
    <cellStyle name="Hyperlink" xfId="4882" builtinId="8" hidden="1"/>
    <cellStyle name="Hyperlink" xfId="4884" builtinId="8" hidden="1"/>
    <cellStyle name="Hyperlink" xfId="4886" builtinId="8" hidden="1"/>
    <cellStyle name="Hyperlink" xfId="4888" builtinId="8" hidden="1"/>
    <cellStyle name="Hyperlink" xfId="4890" builtinId="8" hidden="1"/>
    <cellStyle name="Hyperlink" xfId="4892" builtinId="8" hidden="1"/>
    <cellStyle name="Hyperlink" xfId="4894" builtinId="8" hidden="1"/>
    <cellStyle name="Hyperlink" xfId="4896" builtinId="8" hidden="1"/>
    <cellStyle name="Hyperlink" xfId="4898" builtinId="8" hidden="1"/>
    <cellStyle name="Hyperlink" xfId="4900" builtinId="8" hidden="1"/>
    <cellStyle name="Hyperlink" xfId="4902" builtinId="8" hidden="1"/>
    <cellStyle name="Hyperlink" xfId="4904" builtinId="8" hidden="1"/>
    <cellStyle name="Hyperlink" xfId="4906" builtinId="8" hidden="1"/>
    <cellStyle name="Hyperlink" xfId="4908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2</xdr:row>
          <xdr:rowOff>171450</xdr:rowOff>
        </xdr:from>
        <xdr:to>
          <xdr:col>12</xdr:col>
          <xdr:colOff>161925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Category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2</xdr:row>
          <xdr:rowOff>190500</xdr:rowOff>
        </xdr:from>
        <xdr:to>
          <xdr:col>14</xdr:col>
          <xdr:colOff>133350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Category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</xdr:row>
          <xdr:rowOff>142875</xdr:rowOff>
        </xdr:from>
        <xdr:to>
          <xdr:col>2</xdr:col>
          <xdr:colOff>133350</xdr:colOff>
          <xdr:row>3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390525</xdr:colOff>
          <xdr:row>1</xdr:row>
          <xdr:rowOff>161925</xdr:rowOff>
        </xdr:from>
        <xdr:to>
          <xdr:col>3</xdr:col>
          <xdr:colOff>1076325</xdr:colOff>
          <xdr:row>3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Last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</xdr:row>
          <xdr:rowOff>133350</xdr:rowOff>
        </xdr:from>
        <xdr:to>
          <xdr:col>5</xdr:col>
          <xdr:colOff>228600</xdr:colOff>
          <xdr:row>3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1</xdr:row>
          <xdr:rowOff>142875</xdr:rowOff>
        </xdr:from>
        <xdr:to>
          <xdr:col>6</xdr:col>
          <xdr:colOff>247650</xdr:colOff>
          <xdr:row>3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M53"/>
  <sheetViews>
    <sheetView tabSelected="1" workbookViewId="0">
      <selection activeCell="K27" sqref="K27"/>
    </sheetView>
  </sheetViews>
  <sheetFormatPr defaultRowHeight="15.75" x14ac:dyDescent="0.25"/>
  <cols>
    <col min="2" max="2" width="9.75" bestFit="1" customWidth="1"/>
    <col min="3" max="3" width="6.75" bestFit="1" customWidth="1"/>
    <col min="4" max="4" width="20.75" bestFit="1" customWidth="1"/>
    <col min="5" max="5" width="18.375" bestFit="1" customWidth="1"/>
    <col min="6" max="6" width="17.875" bestFit="1" customWidth="1"/>
    <col min="7" max="7" width="13.125" bestFit="1" customWidth="1"/>
    <col min="8" max="8" width="13.625" bestFit="1" customWidth="1"/>
    <col min="10" max="10" width="14.375" bestFit="1" customWidth="1"/>
    <col min="11" max="11" width="18.375" bestFit="1" customWidth="1"/>
    <col min="12" max="12" width="17.875" bestFit="1" customWidth="1"/>
    <col min="13" max="13" width="15.25" bestFit="1" customWidth="1"/>
  </cols>
  <sheetData>
    <row r="4" spans="2:13" x14ac:dyDescent="0.25">
      <c r="J4" s="3" t="s">
        <v>63</v>
      </c>
      <c r="K4" s="2" t="s">
        <v>76</v>
      </c>
    </row>
    <row r="5" spans="2:13" x14ac:dyDescent="0.25">
      <c r="J5" s="3" t="s">
        <v>64</v>
      </c>
      <c r="K5" s="2" t="s">
        <v>60</v>
      </c>
    </row>
    <row r="7" spans="2:13" x14ac:dyDescent="0.25">
      <c r="F7" s="29"/>
    </row>
    <row r="10" spans="2:13" x14ac:dyDescent="0.25">
      <c r="C10" s="3" t="s">
        <v>0</v>
      </c>
      <c r="D10" s="3" t="s">
        <v>26</v>
      </c>
      <c r="E10" s="3" t="s">
        <v>28</v>
      </c>
      <c r="F10" s="3" t="s">
        <v>29</v>
      </c>
      <c r="G10" s="42" t="s">
        <v>1</v>
      </c>
      <c r="H10" s="43"/>
    </row>
    <row r="11" spans="2:13" x14ac:dyDescent="0.25">
      <c r="B11" s="4" t="s">
        <v>3</v>
      </c>
      <c r="C11" s="1">
        <f ca="1">TODAY()</f>
        <v>43538</v>
      </c>
      <c r="D11" s="2"/>
      <c r="E11" s="1"/>
      <c r="F11" s="2"/>
      <c r="G11" s="44">
        <v>0</v>
      </c>
      <c r="H11" s="45"/>
    </row>
    <row r="15" spans="2:13" x14ac:dyDescent="0.25">
      <c r="B15" s="4" t="s">
        <v>57</v>
      </c>
      <c r="C15" s="3" t="s">
        <v>0</v>
      </c>
      <c r="D15" s="3" t="s">
        <v>26</v>
      </c>
      <c r="E15" s="3" t="s">
        <v>28</v>
      </c>
      <c r="F15" s="3" t="s">
        <v>29</v>
      </c>
      <c r="G15" s="3" t="s">
        <v>30</v>
      </c>
      <c r="H15" s="3" t="s">
        <v>31</v>
      </c>
      <c r="J15" s="3" t="s">
        <v>5</v>
      </c>
      <c r="K15" s="3" t="s">
        <v>60</v>
      </c>
      <c r="L15" s="3" t="s">
        <v>65</v>
      </c>
      <c r="M15" s="3" t="s">
        <v>66</v>
      </c>
    </row>
    <row r="16" spans="2:13" x14ac:dyDescent="0.25">
      <c r="C16" s="1">
        <v>43164</v>
      </c>
      <c r="D16" s="2" t="s">
        <v>55</v>
      </c>
      <c r="E16" s="2" t="s">
        <v>22</v>
      </c>
      <c r="F16" s="2"/>
      <c r="G16" s="6">
        <v>290</v>
      </c>
      <c r="H16" s="6"/>
      <c r="J16" s="2" t="s">
        <v>5</v>
      </c>
      <c r="K16" s="2" t="s">
        <v>50</v>
      </c>
      <c r="L16" s="2" t="s">
        <v>24</v>
      </c>
      <c r="M16" s="2" t="s">
        <v>19</v>
      </c>
    </row>
    <row r="17" spans="3:13" x14ac:dyDescent="0.25">
      <c r="C17" s="1">
        <v>43164</v>
      </c>
      <c r="D17" s="2" t="s">
        <v>55</v>
      </c>
      <c r="E17" s="2"/>
      <c r="F17" s="2" t="s">
        <v>19</v>
      </c>
      <c r="G17" s="7"/>
      <c r="H17" s="7">
        <v>290</v>
      </c>
      <c r="J17" s="2" t="s">
        <v>61</v>
      </c>
      <c r="K17" s="2" t="s">
        <v>71</v>
      </c>
      <c r="L17" s="2" t="s">
        <v>16</v>
      </c>
      <c r="M17" s="2" t="s">
        <v>25</v>
      </c>
    </row>
    <row r="18" spans="3:13" x14ac:dyDescent="0.25">
      <c r="C18" s="1">
        <v>43165</v>
      </c>
      <c r="D18" s="2" t="s">
        <v>40</v>
      </c>
      <c r="E18" s="2" t="s">
        <v>2</v>
      </c>
      <c r="F18" s="2"/>
      <c r="G18" s="7">
        <v>5000</v>
      </c>
      <c r="H18" s="7"/>
      <c r="K18" s="2" t="s">
        <v>62</v>
      </c>
      <c r="L18" s="2" t="s">
        <v>2</v>
      </c>
      <c r="M18" s="2" t="s">
        <v>18</v>
      </c>
    </row>
    <row r="19" spans="3:13" x14ac:dyDescent="0.25">
      <c r="C19" s="1">
        <v>43165</v>
      </c>
      <c r="D19" s="2" t="s">
        <v>40</v>
      </c>
      <c r="E19" s="2"/>
      <c r="F19" s="2" t="s">
        <v>25</v>
      </c>
      <c r="G19" s="21"/>
      <c r="H19" s="21">
        <v>5000</v>
      </c>
      <c r="K19" s="2" t="s">
        <v>72</v>
      </c>
    </row>
    <row r="20" spans="3:13" x14ac:dyDescent="0.25">
      <c r="C20" s="1">
        <v>43198</v>
      </c>
      <c r="D20" s="2" t="s">
        <v>39</v>
      </c>
      <c r="E20" s="2" t="s">
        <v>17</v>
      </c>
      <c r="F20" s="2"/>
      <c r="G20" s="7">
        <v>249</v>
      </c>
      <c r="H20" s="7"/>
      <c r="K20" s="2" t="s">
        <v>73</v>
      </c>
    </row>
    <row r="21" spans="3:13" x14ac:dyDescent="0.25">
      <c r="C21" s="1">
        <v>43198</v>
      </c>
      <c r="D21" s="2" t="s">
        <v>39</v>
      </c>
      <c r="E21" s="2"/>
      <c r="F21" s="2" t="s">
        <v>2</v>
      </c>
      <c r="G21" s="7"/>
      <c r="H21" s="7">
        <v>249</v>
      </c>
      <c r="K21" s="2" t="s">
        <v>74</v>
      </c>
    </row>
    <row r="22" spans="3:13" x14ac:dyDescent="0.25">
      <c r="C22" s="1">
        <v>43301</v>
      </c>
      <c r="D22" s="2" t="s">
        <v>32</v>
      </c>
      <c r="E22" s="2" t="s">
        <v>49</v>
      </c>
      <c r="F22" s="2"/>
      <c r="G22" s="7">
        <v>400</v>
      </c>
      <c r="H22" s="7"/>
      <c r="K22" s="2" t="s">
        <v>75</v>
      </c>
    </row>
    <row r="23" spans="3:13" x14ac:dyDescent="0.25">
      <c r="C23" s="1">
        <v>43301</v>
      </c>
      <c r="D23" s="2" t="s">
        <v>32</v>
      </c>
      <c r="E23" s="2"/>
      <c r="F23" s="2" t="s">
        <v>19</v>
      </c>
      <c r="G23" s="7"/>
      <c r="H23" s="7">
        <v>400</v>
      </c>
      <c r="K23" s="2" t="s">
        <v>70</v>
      </c>
    </row>
    <row r="24" spans="3:13" x14ac:dyDescent="0.25">
      <c r="C24" s="1">
        <v>43302</v>
      </c>
      <c r="D24" s="2" t="s">
        <v>33</v>
      </c>
      <c r="E24" s="2" t="s">
        <v>19</v>
      </c>
      <c r="F24" s="2"/>
      <c r="G24" s="7">
        <v>300</v>
      </c>
      <c r="H24" s="7"/>
    </row>
    <row r="25" spans="3:13" x14ac:dyDescent="0.25">
      <c r="C25" s="1">
        <v>43302</v>
      </c>
      <c r="D25" s="2" t="s">
        <v>33</v>
      </c>
      <c r="E25" s="2"/>
      <c r="F25" s="2" t="s">
        <v>2</v>
      </c>
      <c r="G25" s="7"/>
      <c r="H25" s="7">
        <v>300</v>
      </c>
    </row>
    <row r="26" spans="3:13" x14ac:dyDescent="0.25">
      <c r="C26" s="1">
        <v>43303</v>
      </c>
      <c r="D26" s="2" t="s">
        <v>34</v>
      </c>
      <c r="E26" s="2" t="s">
        <v>22</v>
      </c>
      <c r="F26" s="2"/>
      <c r="G26" s="7">
        <v>230</v>
      </c>
      <c r="H26" s="7"/>
    </row>
    <row r="27" spans="3:13" x14ac:dyDescent="0.25">
      <c r="C27" s="1">
        <v>43303</v>
      </c>
      <c r="D27" s="2" t="s">
        <v>34</v>
      </c>
      <c r="E27" s="2"/>
      <c r="F27" s="2" t="s">
        <v>2</v>
      </c>
      <c r="G27" s="7"/>
      <c r="H27" s="7">
        <v>230</v>
      </c>
    </row>
    <row r="28" spans="3:13" x14ac:dyDescent="0.25">
      <c r="C28" s="1">
        <v>43304</v>
      </c>
      <c r="D28" s="2" t="s">
        <v>35</v>
      </c>
      <c r="E28" s="2" t="s">
        <v>21</v>
      </c>
      <c r="F28" s="2"/>
      <c r="G28" s="7">
        <v>200</v>
      </c>
      <c r="H28" s="7"/>
    </row>
    <row r="29" spans="3:13" x14ac:dyDescent="0.25">
      <c r="C29" s="1">
        <v>43304</v>
      </c>
      <c r="D29" s="2" t="s">
        <v>35</v>
      </c>
      <c r="E29" s="2"/>
      <c r="F29" s="2" t="s">
        <v>18</v>
      </c>
      <c r="G29" s="7"/>
      <c r="H29" s="7">
        <v>200</v>
      </c>
    </row>
    <row r="30" spans="3:13" x14ac:dyDescent="0.25">
      <c r="C30" s="1">
        <v>43305</v>
      </c>
      <c r="D30" s="2" t="s">
        <v>36</v>
      </c>
      <c r="E30" s="2" t="s">
        <v>18</v>
      </c>
      <c r="F30" s="2"/>
      <c r="G30" s="7">
        <v>100</v>
      </c>
      <c r="H30" s="7"/>
    </row>
    <row r="31" spans="3:13" x14ac:dyDescent="0.25">
      <c r="C31" s="1">
        <v>43305</v>
      </c>
      <c r="D31" s="2" t="s">
        <v>36</v>
      </c>
      <c r="E31" s="2"/>
      <c r="F31" s="2" t="s">
        <v>2</v>
      </c>
      <c r="G31" s="7"/>
      <c r="H31" s="7">
        <v>100</v>
      </c>
    </row>
    <row r="32" spans="3:13" x14ac:dyDescent="0.25">
      <c r="C32" s="1">
        <v>43305</v>
      </c>
      <c r="D32" s="2" t="s">
        <v>37</v>
      </c>
      <c r="E32" s="2" t="s">
        <v>2</v>
      </c>
      <c r="F32" s="2"/>
      <c r="G32" s="7">
        <v>1000</v>
      </c>
      <c r="H32" s="7"/>
    </row>
    <row r="33" spans="3:8" x14ac:dyDescent="0.25">
      <c r="C33" s="1">
        <v>43305</v>
      </c>
      <c r="D33" s="2" t="s">
        <v>37</v>
      </c>
      <c r="E33" s="2"/>
      <c r="F33" s="2" t="s">
        <v>58</v>
      </c>
      <c r="G33" s="7"/>
      <c r="H33" s="7">
        <v>1000</v>
      </c>
    </row>
    <row r="34" spans="3:8" x14ac:dyDescent="0.25">
      <c r="C34" s="1">
        <v>43305</v>
      </c>
      <c r="D34" s="2" t="s">
        <v>38</v>
      </c>
      <c r="E34" s="2" t="s">
        <v>16</v>
      </c>
      <c r="F34" s="2"/>
      <c r="G34" s="7">
        <v>700</v>
      </c>
      <c r="H34" s="7"/>
    </row>
    <row r="35" spans="3:8" x14ac:dyDescent="0.25">
      <c r="C35" s="1">
        <v>43305</v>
      </c>
      <c r="D35" s="2" t="s">
        <v>38</v>
      </c>
      <c r="E35" s="2"/>
      <c r="F35" s="2" t="s">
        <v>2</v>
      </c>
      <c r="G35" s="7"/>
      <c r="H35" s="7">
        <v>700</v>
      </c>
    </row>
    <row r="36" spans="3:8" x14ac:dyDescent="0.25">
      <c r="C36" s="1">
        <v>43306</v>
      </c>
      <c r="D36" s="2" t="s">
        <v>27</v>
      </c>
      <c r="E36" s="2" t="s">
        <v>5</v>
      </c>
      <c r="F36" s="2"/>
      <c r="G36" s="7">
        <v>12.5</v>
      </c>
      <c r="H36" s="7"/>
    </row>
    <row r="37" spans="3:8" x14ac:dyDescent="0.25">
      <c r="C37" s="1">
        <v>43306</v>
      </c>
      <c r="D37" s="2" t="s">
        <v>4</v>
      </c>
      <c r="E37" s="1"/>
      <c r="F37" s="2" t="s">
        <v>5</v>
      </c>
      <c r="G37" s="7"/>
      <c r="H37" s="7">
        <v>12.5</v>
      </c>
    </row>
    <row r="38" spans="3:8" x14ac:dyDescent="0.25">
      <c r="C38" s="1">
        <v>43307</v>
      </c>
      <c r="D38" s="2" t="s">
        <v>41</v>
      </c>
      <c r="E38" s="2" t="s">
        <v>25</v>
      </c>
      <c r="F38" s="2"/>
      <c r="G38" s="7">
        <v>300</v>
      </c>
      <c r="H38" s="7"/>
    </row>
    <row r="39" spans="3:8" x14ac:dyDescent="0.25">
      <c r="C39" s="1">
        <v>43307</v>
      </c>
      <c r="D39" s="2" t="s">
        <v>41</v>
      </c>
      <c r="E39" s="2"/>
      <c r="F39" s="2" t="s">
        <v>16</v>
      </c>
      <c r="G39" s="7"/>
      <c r="H39" s="7">
        <v>300</v>
      </c>
    </row>
    <row r="40" spans="3:8" x14ac:dyDescent="0.25">
      <c r="C40" s="1">
        <v>43308</v>
      </c>
      <c r="D40" s="2" t="s">
        <v>42</v>
      </c>
      <c r="E40" s="2" t="s">
        <v>62</v>
      </c>
      <c r="F40" s="2"/>
      <c r="G40" s="7">
        <v>40</v>
      </c>
      <c r="H40" s="7"/>
    </row>
    <row r="41" spans="3:8" x14ac:dyDescent="0.25">
      <c r="C41" s="1">
        <v>43308</v>
      </c>
      <c r="D41" s="2" t="s">
        <v>42</v>
      </c>
      <c r="E41" s="2"/>
      <c r="F41" s="2" t="s">
        <v>16</v>
      </c>
      <c r="G41" s="7"/>
      <c r="H41" s="7">
        <v>40</v>
      </c>
    </row>
    <row r="42" spans="3:8" x14ac:dyDescent="0.25">
      <c r="C42" s="1">
        <v>43309</v>
      </c>
      <c r="D42" s="2" t="s">
        <v>43</v>
      </c>
      <c r="E42" s="2" t="s">
        <v>20</v>
      </c>
      <c r="F42" s="2"/>
      <c r="G42" s="7">
        <v>120</v>
      </c>
      <c r="H42" s="7"/>
    </row>
    <row r="43" spans="3:8" x14ac:dyDescent="0.25">
      <c r="C43" s="1">
        <v>43309</v>
      </c>
      <c r="D43" s="2" t="s">
        <v>43</v>
      </c>
      <c r="E43" s="2"/>
      <c r="F43" s="2" t="s">
        <v>2</v>
      </c>
      <c r="G43" s="7"/>
      <c r="H43" s="7">
        <v>120</v>
      </c>
    </row>
    <row r="44" spans="3:8" x14ac:dyDescent="0.25">
      <c r="C44" s="1">
        <v>43309</v>
      </c>
      <c r="D44" s="2" t="s">
        <v>44</v>
      </c>
      <c r="E44" s="2" t="s">
        <v>23</v>
      </c>
      <c r="F44" s="2"/>
      <c r="G44" s="7">
        <v>100</v>
      </c>
      <c r="H44" s="7"/>
    </row>
    <row r="45" spans="3:8" x14ac:dyDescent="0.25">
      <c r="C45" s="1">
        <v>43309</v>
      </c>
      <c r="D45" s="2" t="s">
        <v>44</v>
      </c>
      <c r="E45" s="2"/>
      <c r="F45" s="2" t="s">
        <v>2</v>
      </c>
      <c r="G45" s="7"/>
      <c r="H45" s="7">
        <v>100</v>
      </c>
    </row>
    <row r="46" spans="3:8" x14ac:dyDescent="0.25">
      <c r="C46" s="1">
        <v>43309</v>
      </c>
      <c r="D46" s="2" t="s">
        <v>45</v>
      </c>
      <c r="E46" s="2" t="s">
        <v>24</v>
      </c>
      <c r="F46" s="2"/>
      <c r="G46" s="7">
        <v>2400</v>
      </c>
      <c r="H46" s="7"/>
    </row>
    <row r="47" spans="3:8" x14ac:dyDescent="0.25">
      <c r="C47" s="1">
        <v>43309</v>
      </c>
      <c r="D47" s="2" t="s">
        <v>45</v>
      </c>
      <c r="E47" s="2"/>
      <c r="F47" s="2" t="s">
        <v>59</v>
      </c>
      <c r="G47" s="7"/>
      <c r="H47" s="7">
        <v>2400</v>
      </c>
    </row>
    <row r="48" spans="3:8" x14ac:dyDescent="0.25">
      <c r="C48" s="1">
        <v>43309</v>
      </c>
      <c r="D48" s="2" t="s">
        <v>46</v>
      </c>
      <c r="E48" s="2" t="s">
        <v>16</v>
      </c>
      <c r="F48" s="2"/>
      <c r="G48" s="7">
        <v>1500</v>
      </c>
      <c r="H48" s="7"/>
    </row>
    <row r="49" spans="3:8" x14ac:dyDescent="0.25">
      <c r="C49" s="1">
        <v>43309</v>
      </c>
      <c r="D49" s="2" t="s">
        <v>46</v>
      </c>
      <c r="E49" s="2"/>
      <c r="F49" s="2" t="s">
        <v>24</v>
      </c>
      <c r="G49" s="7"/>
      <c r="H49" s="7">
        <v>1500</v>
      </c>
    </row>
    <row r="50" spans="3:8" x14ac:dyDescent="0.25">
      <c r="C50" s="1">
        <v>43309</v>
      </c>
      <c r="D50" s="2" t="s">
        <v>47</v>
      </c>
      <c r="E50" s="2" t="s">
        <v>50</v>
      </c>
      <c r="F50" s="2"/>
      <c r="G50" s="7">
        <v>65</v>
      </c>
      <c r="H50" s="7"/>
    </row>
    <row r="51" spans="3:8" x14ac:dyDescent="0.25">
      <c r="C51" s="1">
        <v>43309</v>
      </c>
      <c r="D51" s="2" t="s">
        <v>47</v>
      </c>
      <c r="E51" s="2"/>
      <c r="F51" s="2" t="s">
        <v>2</v>
      </c>
      <c r="G51" s="7"/>
      <c r="H51" s="7">
        <v>65</v>
      </c>
    </row>
    <row r="52" spans="3:8" x14ac:dyDescent="0.25">
      <c r="C52" s="1">
        <v>43309</v>
      </c>
      <c r="D52" s="2" t="s">
        <v>48</v>
      </c>
      <c r="E52" s="2" t="s">
        <v>2</v>
      </c>
      <c r="F52" s="2"/>
      <c r="G52" s="7">
        <v>100</v>
      </c>
      <c r="H52" s="7"/>
    </row>
    <row r="53" spans="3:8" x14ac:dyDescent="0.25">
      <c r="C53" s="1">
        <v>43309</v>
      </c>
      <c r="D53" s="2" t="s">
        <v>48</v>
      </c>
      <c r="E53" s="2"/>
      <c r="F53" s="2" t="s">
        <v>17</v>
      </c>
      <c r="G53" s="7"/>
      <c r="H53" s="7">
        <v>100</v>
      </c>
    </row>
  </sheetData>
  <sortState ref="K17:K24">
    <sortCondition ref="K17"/>
  </sortState>
  <mergeCells count="2">
    <mergeCell ref="G10:H10"/>
    <mergeCell ref="G11:H11"/>
  </mergeCells>
  <dataValidations count="3">
    <dataValidation type="list" allowBlank="1" showInputMessage="1" showErrorMessage="1" sqref="K5" xr:uid="{E8613559-A911-4B1B-ABE2-E41DDF15DAED}">
      <formula1>$J$15:$M$15</formula1>
    </dataValidation>
    <dataValidation type="list" allowBlank="1" showInputMessage="1" showErrorMessage="1" sqref="F11" xr:uid="{B78798C7-2ED3-47CF-80B6-55212816867F}">
      <formula1>"Accounts Receivable,Bank,Cash,Accounts Payable,Loan,Wages Payable,Revenue,T-Shirts,"</formula1>
    </dataValidation>
    <dataValidation type="list" allowBlank="1" showInputMessage="1" showErrorMessage="1" sqref="E11" xr:uid="{5E2C4D42-7F2C-4205-A082-58931BC51427}">
      <formula1>"Accounts Receivable,Bank,Cash,Accounts Payable,Loan,Wages Payable,Tax Expenses,a,Advertising Expenses,b,c,d,e,Venue,"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category">
                <anchor moveWithCells="1" sizeWithCells="1">
                  <from>
                    <xdr:col>11</xdr:col>
                    <xdr:colOff>285750</xdr:colOff>
                    <xdr:row>2</xdr:row>
                    <xdr:rowOff>171450</xdr:rowOff>
                  </from>
                  <to>
                    <xdr:col>12</xdr:col>
                    <xdr:colOff>161925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category">
                <anchor moveWithCells="1" sizeWithCells="1">
                  <from>
                    <xdr:col>12</xdr:col>
                    <xdr:colOff>361950</xdr:colOff>
                    <xdr:row>2</xdr:row>
                    <xdr:rowOff>190500</xdr:rowOff>
                  </from>
                  <to>
                    <xdr:col>14</xdr:col>
                    <xdr:colOff>133350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entry">
                <anchor moveWithCells="1" sizeWithCells="1">
                  <from>
                    <xdr:col>0</xdr:col>
                    <xdr:colOff>342900</xdr:colOff>
                    <xdr:row>1</xdr:row>
                    <xdr:rowOff>142875</xdr:rowOff>
                  </from>
                  <to>
                    <xdr:col>2</xdr:col>
                    <xdr:colOff>133350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Last">
                <anchor moveWithCells="1" sizeWithCells="1">
                  <from>
                    <xdr:col>2</xdr:col>
                    <xdr:colOff>390525</xdr:colOff>
                    <xdr:row>1</xdr:row>
                    <xdr:rowOff>161925</xdr:rowOff>
                  </from>
                  <to>
                    <xdr:col>3</xdr:col>
                    <xdr:colOff>1076325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ortjournal">
                <anchor moveWithCells="1" sizeWithCells="1">
                  <from>
                    <xdr:col>4</xdr:col>
                    <xdr:colOff>152400</xdr:colOff>
                    <xdr:row>1</xdr:row>
                    <xdr:rowOff>133350</xdr:rowOff>
                  </from>
                  <to>
                    <xdr:col>5</xdr:col>
                    <xdr:colOff>228600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_xludf.clear">
                <anchor moveWithCells="1" sizeWithCells="1">
                  <from>
                    <xdr:col>5</xdr:col>
                    <xdr:colOff>542925</xdr:colOff>
                    <xdr:row>1</xdr:row>
                    <xdr:rowOff>142875</xdr:rowOff>
                  </from>
                  <to>
                    <xdr:col>6</xdr:col>
                    <xdr:colOff>247650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C3:E23"/>
  <sheetViews>
    <sheetView workbookViewId="0">
      <selection activeCell="K11" sqref="K11"/>
    </sheetView>
  </sheetViews>
  <sheetFormatPr defaultColWidth="11" defaultRowHeight="15.75" x14ac:dyDescent="0.25"/>
  <cols>
    <col min="3" max="3" width="31.125" bestFit="1" customWidth="1"/>
    <col min="4" max="4" width="36.875" bestFit="1" customWidth="1"/>
    <col min="5" max="5" width="14" customWidth="1"/>
    <col min="7" max="7" width="18.375" bestFit="1" customWidth="1"/>
  </cols>
  <sheetData>
    <row r="3" spans="3:5" x14ac:dyDescent="0.25">
      <c r="C3" s="3" t="s">
        <v>56</v>
      </c>
    </row>
    <row r="6" spans="3:5" ht="16.5" customHeight="1" x14ac:dyDescent="0.25">
      <c r="C6" s="3" t="s">
        <v>5</v>
      </c>
      <c r="D6" s="8"/>
      <c r="E6" s="12">
        <v>2019</v>
      </c>
    </row>
    <row r="7" spans="3:5" x14ac:dyDescent="0.25">
      <c r="C7" s="2"/>
      <c r="D7" s="2" t="str">
        <f>Journal!J16</f>
        <v>Revenue</v>
      </c>
      <c r="E7" s="11">
        <f t="shared" ref="E7:E8" si="0">SUMIF(credit_column,D7,credit_amount_column)</f>
        <v>12.5</v>
      </c>
    </row>
    <row r="8" spans="3:5" x14ac:dyDescent="0.25">
      <c r="C8" s="2"/>
      <c r="D8" s="2" t="str">
        <f>Journal!J17</f>
        <v>T-Shirts</v>
      </c>
      <c r="E8" s="11">
        <f t="shared" si="0"/>
        <v>0</v>
      </c>
    </row>
    <row r="9" spans="3:5" ht="15.75" customHeight="1" x14ac:dyDescent="0.25">
      <c r="C9" s="3" t="s">
        <v>6</v>
      </c>
      <c r="D9" s="8"/>
      <c r="E9" s="20">
        <f ca="1">SUM(OFFSET(Revenue_Flex,0,1))</f>
        <v>12.5</v>
      </c>
    </row>
    <row r="10" spans="3:5" x14ac:dyDescent="0.25">
      <c r="C10" s="2"/>
      <c r="D10" s="2"/>
      <c r="E10" s="10"/>
    </row>
    <row r="11" spans="3:5" ht="18.75" x14ac:dyDescent="0.25">
      <c r="C11" s="3" t="s">
        <v>7</v>
      </c>
      <c r="D11" s="8"/>
      <c r="E11" s="12">
        <v>2019</v>
      </c>
    </row>
    <row r="12" spans="3:5" x14ac:dyDescent="0.25">
      <c r="C12" s="2"/>
      <c r="D12" s="2" t="str">
        <f>Journal!K17</f>
        <v>a</v>
      </c>
      <c r="E12" s="11">
        <f t="shared" ref="E12:E18" si="1">SUMIF(debit_column,D12,debit_amount_column)</f>
        <v>0</v>
      </c>
    </row>
    <row r="13" spans="3:5" x14ac:dyDescent="0.25">
      <c r="C13" s="2"/>
      <c r="D13" s="2" t="str">
        <f>Journal!K18</f>
        <v>Advertising Expenses</v>
      </c>
      <c r="E13" s="11">
        <f t="shared" si="1"/>
        <v>40</v>
      </c>
    </row>
    <row r="14" spans="3:5" x14ac:dyDescent="0.25">
      <c r="C14" s="2"/>
      <c r="D14" s="2" t="str">
        <f>Journal!K19</f>
        <v>b</v>
      </c>
      <c r="E14" s="11">
        <f t="shared" si="1"/>
        <v>0</v>
      </c>
    </row>
    <row r="15" spans="3:5" x14ac:dyDescent="0.25">
      <c r="C15" s="2"/>
      <c r="D15" s="2" t="str">
        <f>Journal!K20</f>
        <v>c</v>
      </c>
      <c r="E15" s="11">
        <f t="shared" si="1"/>
        <v>0</v>
      </c>
    </row>
    <row r="16" spans="3:5" x14ac:dyDescent="0.25">
      <c r="C16" s="2"/>
      <c r="D16" s="2" t="str">
        <f>Journal!K21</f>
        <v>d</v>
      </c>
      <c r="E16" s="11">
        <f t="shared" si="1"/>
        <v>0</v>
      </c>
    </row>
    <row r="17" spans="3:5" x14ac:dyDescent="0.25">
      <c r="C17" s="2"/>
      <c r="D17" s="2" t="str">
        <f>Journal!K22</f>
        <v>e</v>
      </c>
      <c r="E17" s="11">
        <f t="shared" si="1"/>
        <v>0</v>
      </c>
    </row>
    <row r="18" spans="3:5" x14ac:dyDescent="0.25">
      <c r="C18" s="2"/>
      <c r="D18" s="2" t="str">
        <f>Journal!K23</f>
        <v>Venue</v>
      </c>
      <c r="E18" s="11">
        <f t="shared" si="1"/>
        <v>0</v>
      </c>
    </row>
    <row r="19" spans="3:5" ht="18.75" x14ac:dyDescent="0.25">
      <c r="C19" s="3" t="s">
        <v>8</v>
      </c>
      <c r="D19" s="8"/>
      <c r="E19" s="28">
        <f ca="1">SUM(OFFSET(Expense_Flex,0,1))</f>
        <v>40</v>
      </c>
    </row>
    <row r="20" spans="3:5" x14ac:dyDescent="0.25">
      <c r="C20" s="2"/>
      <c r="D20" s="2" t="s">
        <v>9</v>
      </c>
      <c r="E20" s="11">
        <f ca="1">total_revenue-total_expenses</f>
        <v>-27.5</v>
      </c>
    </row>
    <row r="21" spans="3:5" x14ac:dyDescent="0.25">
      <c r="C21" s="2"/>
      <c r="D21" s="2" t="str">
        <f>Journal!K16</f>
        <v>Tax Expenses</v>
      </c>
      <c r="E21" s="11">
        <f>SUMIF(debit_column,"Tax Expenses",debit_amount_column)</f>
        <v>65</v>
      </c>
    </row>
    <row r="22" spans="3:5" x14ac:dyDescent="0.25">
      <c r="C22" s="2"/>
      <c r="D22" s="2"/>
      <c r="E22" s="11"/>
    </row>
    <row r="23" spans="3:5" ht="18.75" x14ac:dyDescent="0.25">
      <c r="C23" s="3" t="s">
        <v>51</v>
      </c>
      <c r="D23" s="8"/>
      <c r="E23" s="20">
        <f ca="1">income_before_tax-income_after_tax</f>
        <v>-92.5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C2:E37"/>
  <sheetViews>
    <sheetView workbookViewId="0">
      <selection activeCell="D11" sqref="D11"/>
    </sheetView>
  </sheetViews>
  <sheetFormatPr defaultColWidth="11" defaultRowHeight="15.75" x14ac:dyDescent="0.25"/>
  <cols>
    <col min="3" max="3" width="39.125" bestFit="1" customWidth="1"/>
    <col min="4" max="4" width="24.375" bestFit="1" customWidth="1"/>
    <col min="5" max="5" width="10.625" bestFit="1" customWidth="1"/>
    <col min="6" max="6" width="18.375" bestFit="1" customWidth="1"/>
  </cols>
  <sheetData>
    <row r="2" spans="3:5" ht="16.5" thickBot="1" x14ac:dyDescent="0.3"/>
    <row r="3" spans="3:5" ht="16.5" thickBot="1" x14ac:dyDescent="0.3">
      <c r="C3" s="14" t="s">
        <v>54</v>
      </c>
    </row>
    <row r="6" spans="3:5" ht="16.5" thickBot="1" x14ac:dyDescent="0.3"/>
    <row r="7" spans="3:5" x14ac:dyDescent="0.25">
      <c r="C7" s="22" t="s">
        <v>10</v>
      </c>
      <c r="D7" s="23"/>
      <c r="E7" s="24">
        <v>2019</v>
      </c>
    </row>
    <row r="8" spans="3:5" x14ac:dyDescent="0.25">
      <c r="C8" s="2"/>
      <c r="D8" s="2" t="str">
        <f>Journal!L16</f>
        <v>Accounts Receivable</v>
      </c>
      <c r="E8" s="11">
        <f>SUMIF(debit_column,D8,debit_amount_column)-SUMIF(credit_column,D8,credit_amount_column)</f>
        <v>900</v>
      </c>
    </row>
    <row r="9" spans="3:5" x14ac:dyDescent="0.25">
      <c r="C9" s="2"/>
      <c r="D9" s="2" t="str">
        <f>Journal!L17</f>
        <v>Bank</v>
      </c>
      <c r="E9" s="11">
        <f>SUMIF(debit_column,D9,debit_amount_column)-SUMIF(credit_column,D9,credit_amount_column)</f>
        <v>1860</v>
      </c>
    </row>
    <row r="10" spans="3:5" x14ac:dyDescent="0.25">
      <c r="C10" s="2"/>
      <c r="D10" s="2" t="str">
        <f>Journal!L18</f>
        <v>Cash</v>
      </c>
      <c r="E10" s="11">
        <f>SUMIF(debit_column,D10,debit_amount_column)-SUMIF(credit_column,D10,credit_amount_column)</f>
        <v>4236</v>
      </c>
    </row>
    <row r="11" spans="3:5" ht="16.5" thickBot="1" x14ac:dyDescent="0.3">
      <c r="C11" s="25" t="s">
        <v>11</v>
      </c>
      <c r="D11" s="26"/>
      <c r="E11" s="27">
        <f ca="1">SUM(OFFSET(Asset_Flex,0,1))</f>
        <v>6996</v>
      </c>
    </row>
    <row r="12" spans="3:5" ht="16.5" thickBot="1" x14ac:dyDescent="0.3">
      <c r="C12" s="18"/>
      <c r="D12" s="18"/>
      <c r="E12" s="19"/>
    </row>
    <row r="13" spans="3:5" ht="16.5" thickBot="1" x14ac:dyDescent="0.3">
      <c r="C13" s="14" t="s">
        <v>12</v>
      </c>
      <c r="D13" s="15"/>
      <c r="E13" s="16">
        <v>2019</v>
      </c>
    </row>
    <row r="14" spans="3:5" x14ac:dyDescent="0.25">
      <c r="C14" s="2"/>
      <c r="D14" s="13" t="s">
        <v>52</v>
      </c>
      <c r="E14" s="13"/>
    </row>
    <row r="15" spans="3:5" x14ac:dyDescent="0.25">
      <c r="C15" s="2"/>
      <c r="D15" s="2" t="str">
        <f>Journal!M16</f>
        <v>Accounts Payable</v>
      </c>
      <c r="E15" s="11">
        <f t="shared" ref="E15:E17" si="0">SUMIF(credit_column,D15,credit_amount_column)-SUMIF(debit_column,D15,debit_amount_column)</f>
        <v>390</v>
      </c>
    </row>
    <row r="16" spans="3:5" x14ac:dyDescent="0.25">
      <c r="C16" s="2"/>
      <c r="D16" s="2" t="str">
        <f>Journal!M17</f>
        <v>Loan</v>
      </c>
      <c r="E16" s="11">
        <f t="shared" si="0"/>
        <v>4700</v>
      </c>
    </row>
    <row r="17" spans="3:5" x14ac:dyDescent="0.25">
      <c r="C17" s="2"/>
      <c r="D17" s="2" t="str">
        <f>Journal!M18</f>
        <v>Wages Payable</v>
      </c>
      <c r="E17" s="11">
        <f t="shared" si="0"/>
        <v>100</v>
      </c>
    </row>
    <row r="18" spans="3:5" ht="16.5" thickBot="1" x14ac:dyDescent="0.3">
      <c r="C18" s="3" t="s">
        <v>67</v>
      </c>
      <c r="D18" s="26"/>
      <c r="E18" s="27">
        <f ca="1">SUM(OFFSET(Liability_Flex,0,1))</f>
        <v>5190</v>
      </c>
    </row>
    <row r="19" spans="3:5" x14ac:dyDescent="0.25">
      <c r="C19" s="2"/>
      <c r="D19" s="3" t="s">
        <v>13</v>
      </c>
      <c r="E19" s="9"/>
    </row>
    <row r="20" spans="3:5" x14ac:dyDescent="0.25">
      <c r="C20" s="2"/>
      <c r="D20" s="2" t="s">
        <v>14</v>
      </c>
      <c r="E20" s="11">
        <f ca="1">net_income</f>
        <v>-92.5</v>
      </c>
    </row>
    <row r="21" spans="3:5" x14ac:dyDescent="0.25">
      <c r="C21" s="2"/>
      <c r="D21" s="2"/>
      <c r="E21" s="11"/>
    </row>
    <row r="22" spans="3:5" x14ac:dyDescent="0.25">
      <c r="C22" s="2"/>
      <c r="D22" s="2"/>
      <c r="E22" s="11"/>
    </row>
    <row r="23" spans="3:5" ht="16.5" thickBot="1" x14ac:dyDescent="0.3">
      <c r="C23" s="2"/>
      <c r="D23" s="3" t="s">
        <v>53</v>
      </c>
      <c r="E23" s="9">
        <f ca="1">retained_earnings</f>
        <v>-92.5</v>
      </c>
    </row>
    <row r="24" spans="3:5" ht="16.5" thickBot="1" x14ac:dyDescent="0.3">
      <c r="C24" s="14" t="s">
        <v>15</v>
      </c>
      <c r="D24" s="15"/>
      <c r="E24" s="17">
        <f ca="1">total_equity+SUM(OFFSET(Liability_Flex,0,1))</f>
        <v>5097.5</v>
      </c>
    </row>
    <row r="37" spans="3:5" x14ac:dyDescent="0.25">
      <c r="C37" s="5"/>
      <c r="D37" s="5"/>
      <c r="E37" s="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45B40-BE50-4BE5-9FC5-5B228DB237E7}">
  <sheetPr codeName="Sheet5"/>
  <dimension ref="E3:G16"/>
  <sheetViews>
    <sheetView workbookViewId="0">
      <selection activeCell="F6" sqref="F6:F9"/>
    </sheetView>
  </sheetViews>
  <sheetFormatPr defaultRowHeight="15.75" x14ac:dyDescent="0.25"/>
  <cols>
    <col min="5" max="5" width="31.625" bestFit="1" customWidth="1"/>
    <col min="6" max="6" width="19" bestFit="1" customWidth="1"/>
    <col min="7" max="7" width="10.125" bestFit="1" customWidth="1"/>
  </cols>
  <sheetData>
    <row r="3" spans="5:7" ht="16.5" thickBot="1" x14ac:dyDescent="0.3"/>
    <row r="4" spans="5:7" ht="16.5" thickBot="1" x14ac:dyDescent="0.3">
      <c r="E4" s="30" t="s">
        <v>68</v>
      </c>
      <c r="F4" s="31"/>
      <c r="G4" s="32">
        <v>1993</v>
      </c>
    </row>
    <row r="5" spans="5:7" x14ac:dyDescent="0.25">
      <c r="E5" s="39"/>
      <c r="F5" s="33" t="s">
        <v>68</v>
      </c>
      <c r="G5" s="33"/>
    </row>
    <row r="6" spans="5:7" x14ac:dyDescent="0.25">
      <c r="E6" s="39"/>
      <c r="F6" s="39" t="str">
        <f>Journal!K16</f>
        <v>Tax Expenses</v>
      </c>
      <c r="G6" s="40">
        <f t="shared" ref="G6:G9" si="0">SUMIF(credit_column,F6,credit_amount_column)-SUMIF(debit_column,F6,debit_amount_column)</f>
        <v>-65</v>
      </c>
    </row>
    <row r="7" spans="5:7" x14ac:dyDescent="0.25">
      <c r="E7" s="39"/>
      <c r="F7" s="39" t="str">
        <f>Journal!K17</f>
        <v>a</v>
      </c>
      <c r="G7" s="40">
        <f t="shared" si="0"/>
        <v>0</v>
      </c>
    </row>
    <row r="8" spans="5:7" x14ac:dyDescent="0.25">
      <c r="E8" s="39"/>
      <c r="F8" s="39" t="str">
        <f>Journal!K18</f>
        <v>Advertising Expenses</v>
      </c>
      <c r="G8" s="40">
        <f t="shared" si="0"/>
        <v>-40</v>
      </c>
    </row>
    <row r="9" spans="5:7" x14ac:dyDescent="0.25">
      <c r="E9" s="39"/>
      <c r="F9" s="39" t="str">
        <f>Journal!K19</f>
        <v>b</v>
      </c>
      <c r="G9" s="40">
        <f t="shared" si="0"/>
        <v>0</v>
      </c>
    </row>
    <row r="10" spans="5:7" ht="16.5" thickBot="1" x14ac:dyDescent="0.3">
      <c r="E10" s="35" t="s">
        <v>68</v>
      </c>
      <c r="F10" s="36"/>
      <c r="G10" s="37">
        <f ca="1">SUM(OFFSET(Liability_Flex,0,1))</f>
        <v>5190</v>
      </c>
    </row>
    <row r="11" spans="5:7" x14ac:dyDescent="0.25">
      <c r="E11" s="39"/>
      <c r="F11" s="35" t="s">
        <v>68</v>
      </c>
      <c r="G11" s="34"/>
    </row>
    <row r="12" spans="5:7" x14ac:dyDescent="0.25">
      <c r="E12" s="39"/>
      <c r="F12" s="39" t="s">
        <v>69</v>
      </c>
      <c r="G12" s="40">
        <f ca="1">net_income</f>
        <v>-92.5</v>
      </c>
    </row>
    <row r="13" spans="5:7" x14ac:dyDescent="0.25">
      <c r="E13" s="39"/>
      <c r="F13" s="39"/>
      <c r="G13" s="40"/>
    </row>
    <row r="14" spans="5:7" x14ac:dyDescent="0.25">
      <c r="E14" s="39"/>
      <c r="F14" s="39"/>
      <c r="G14" s="40"/>
    </row>
    <row r="15" spans="5:7" ht="16.5" thickBot="1" x14ac:dyDescent="0.3">
      <c r="E15" s="39"/>
      <c r="F15" s="41" t="s">
        <v>68</v>
      </c>
      <c r="G15" s="40">
        <f ca="1">retained_earnings</f>
        <v>-92.5</v>
      </c>
    </row>
    <row r="16" spans="5:7" ht="16.5" thickBot="1" x14ac:dyDescent="0.3">
      <c r="E16" s="30" t="s">
        <v>68</v>
      </c>
      <c r="F16" s="31"/>
      <c r="G16" s="38">
        <f ca="1">total_equity+SUM(OFFSET(Liability_Flex,0,1))</f>
        <v>5097.5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32</vt:i4>
      </vt:variant>
    </vt:vector>
  </HeadingPairs>
  <TitlesOfParts>
    <vt:vector size="36" baseType="lpstr">
      <vt:lpstr>Journal</vt:lpstr>
      <vt:lpstr>Income</vt:lpstr>
      <vt:lpstr>Balance</vt:lpstr>
      <vt:lpstr>Sheet1</vt:lpstr>
      <vt:lpstr>amount_entry</vt:lpstr>
      <vt:lpstr>Asset_Flex</vt:lpstr>
      <vt:lpstr>Asset_List</vt:lpstr>
      <vt:lpstr>category_input</vt:lpstr>
      <vt:lpstr>credit_amount_column</vt:lpstr>
      <vt:lpstr>credit_column</vt:lpstr>
      <vt:lpstr>credit_entry</vt:lpstr>
      <vt:lpstr>date_column</vt:lpstr>
      <vt:lpstr>date_entry</vt:lpstr>
      <vt:lpstr>debit_amount_column</vt:lpstr>
      <vt:lpstr>debit_column</vt:lpstr>
      <vt:lpstr>debit_entry</vt:lpstr>
      <vt:lpstr>description_column</vt:lpstr>
      <vt:lpstr>description_entry</vt:lpstr>
      <vt:lpstr>Expense_Flex</vt:lpstr>
      <vt:lpstr>Expense_List</vt:lpstr>
      <vt:lpstr>Expense_List_Tax</vt:lpstr>
      <vt:lpstr>income_after_tax</vt:lpstr>
      <vt:lpstr>income_before_tax</vt:lpstr>
      <vt:lpstr>journal</vt:lpstr>
      <vt:lpstr>Liability_Flex</vt:lpstr>
      <vt:lpstr>Liability_List</vt:lpstr>
      <vt:lpstr>list_input</vt:lpstr>
      <vt:lpstr>net_income</vt:lpstr>
      <vt:lpstr>retained_earnings</vt:lpstr>
      <vt:lpstr>Revenue_Flex</vt:lpstr>
      <vt:lpstr>Revenue_List</vt:lpstr>
      <vt:lpstr>test_range</vt:lpstr>
      <vt:lpstr>total_assets</vt:lpstr>
      <vt:lpstr>total_equity</vt:lpstr>
      <vt:lpstr>total_expenses</vt:lpstr>
      <vt:lpstr>total_revenue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Isenberg</dc:creator>
  <cp:lastModifiedBy>Will Isenberg</cp:lastModifiedBy>
  <dcterms:created xsi:type="dcterms:W3CDTF">2016-08-10T19:36:02Z</dcterms:created>
  <dcterms:modified xsi:type="dcterms:W3CDTF">2019-03-14T19:43:08Z</dcterms:modified>
</cp:coreProperties>
</file>